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WENDLANDT SYS\Wend-Sys\019-085-WENDLANDT-VENTAS\src\WendlandtVentas.Web\wwwroot\resources\"/>
    </mc:Choice>
  </mc:AlternateContent>
  <xr:revisionPtr revIDLastSave="0" documentId="13_ncr:1_{A0CC804C-49AB-4824-923E-E59725EEA0EF}" xr6:coauthVersionLast="47" xr6:coauthVersionMax="47" xr10:uidLastSave="{00000000-0000-0000-0000-000000000000}"/>
  <bookViews>
    <workbookView xWindow="-28920" yWindow="-120" windowWidth="29040" windowHeight="15720" xr2:uid="{C5D50FD7-43D5-42D0-AAC0-11B39C34C376}"/>
  </bookViews>
  <sheets>
    <sheet name="02 MAR" sheetId="71" r:id="rId1"/>
    <sheet name="23 FEB" sheetId="70" r:id="rId2"/>
    <sheet name="19 FEB" sheetId="69" r:id="rId3"/>
    <sheet name="09 FEB" sheetId="67" r:id="rId4"/>
    <sheet name="03 FEB" sheetId="6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0" i="70" l="1"/>
  <c r="O40" i="70"/>
  <c r="N40" i="70"/>
  <c r="M40" i="70"/>
  <c r="L40" i="70"/>
  <c r="L34" i="70"/>
  <c r="P33" i="70"/>
  <c r="O33" i="70"/>
  <c r="N33" i="70"/>
  <c r="M33" i="70"/>
  <c r="P32" i="70"/>
  <c r="O32" i="70"/>
  <c r="N32" i="70"/>
  <c r="M32" i="70"/>
  <c r="M31" i="70"/>
  <c r="P30" i="70"/>
  <c r="O30" i="70"/>
  <c r="N30" i="70"/>
  <c r="M30" i="70"/>
  <c r="O29" i="70"/>
  <c r="N29" i="70"/>
  <c r="M29" i="70"/>
  <c r="P29" i="70" s="1"/>
  <c r="P28" i="70"/>
  <c r="O28" i="70"/>
  <c r="N28" i="70"/>
  <c r="M28" i="70"/>
  <c r="P27" i="70"/>
  <c r="O27" i="70"/>
  <c r="N27" i="70"/>
  <c r="M27" i="70"/>
  <c r="P26" i="70"/>
  <c r="O26" i="70"/>
  <c r="N26" i="70"/>
  <c r="M26" i="70"/>
  <c r="P25" i="70"/>
  <c r="O25" i="70"/>
  <c r="N25" i="70"/>
  <c r="M25" i="70"/>
  <c r="P24" i="70"/>
  <c r="O24" i="70"/>
  <c r="N24" i="70"/>
  <c r="M24" i="70"/>
  <c r="P23" i="70"/>
  <c r="O23" i="70"/>
  <c r="N23" i="70"/>
  <c r="M23" i="70"/>
  <c r="O20" i="70"/>
  <c r="N20" i="70"/>
  <c r="M20" i="70"/>
  <c r="O19" i="70"/>
  <c r="N19" i="70"/>
  <c r="M19" i="70"/>
  <c r="O18" i="70"/>
  <c r="N18" i="70"/>
  <c r="M18" i="70"/>
  <c r="P17" i="70"/>
  <c r="O17" i="70"/>
  <c r="N17" i="70"/>
  <c r="N34" i="70" s="1"/>
  <c r="M17" i="70"/>
  <c r="O14" i="70"/>
  <c r="N14" i="70"/>
  <c r="M14" i="70"/>
  <c r="P14" i="70" s="1"/>
  <c r="O13" i="70"/>
  <c r="N13" i="70"/>
  <c r="M13" i="70"/>
  <c r="O12" i="70"/>
  <c r="N12" i="70"/>
  <c r="M12" i="70"/>
  <c r="O11" i="70"/>
  <c r="N11" i="70"/>
  <c r="M11" i="70"/>
  <c r="O10" i="70"/>
  <c r="N10" i="70"/>
  <c r="M10" i="70"/>
  <c r="P10" i="70" s="1"/>
  <c r="O9" i="70"/>
  <c r="N9" i="70"/>
  <c r="M9" i="70"/>
  <c r="O8" i="70"/>
  <c r="N8" i="70"/>
  <c r="M8" i="70"/>
  <c r="P20" i="70" l="1"/>
  <c r="P19" i="70"/>
  <c r="P18" i="70"/>
  <c r="P13" i="70"/>
  <c r="P12" i="70"/>
  <c r="O34" i="70"/>
  <c r="P11" i="70"/>
  <c r="P9" i="70"/>
  <c r="P8" i="70"/>
  <c r="M34" i="70"/>
  <c r="P34" i="70"/>
  <c r="L37" i="70" s="1"/>
  <c r="M20" i="69" l="1"/>
  <c r="P20" i="69" s="1"/>
  <c r="N20" i="69"/>
  <c r="O20" i="69"/>
  <c r="M21" i="69"/>
  <c r="P21" i="69" s="1"/>
  <c r="N21" i="69"/>
  <c r="O21" i="69"/>
  <c r="P41" i="69"/>
  <c r="O41" i="69"/>
  <c r="N41" i="69"/>
  <c r="M41" i="69"/>
  <c r="L41" i="69"/>
  <c r="L35" i="69"/>
  <c r="O34" i="69"/>
  <c r="N34" i="69"/>
  <c r="M34" i="69"/>
  <c r="O33" i="69"/>
  <c r="N33" i="69"/>
  <c r="M33" i="69"/>
  <c r="M32" i="69"/>
  <c r="O31" i="69"/>
  <c r="N31" i="69"/>
  <c r="M31" i="69"/>
  <c r="O30" i="69"/>
  <c r="N30" i="69"/>
  <c r="M30" i="69"/>
  <c r="O29" i="69"/>
  <c r="N29" i="69"/>
  <c r="M29" i="69"/>
  <c r="O28" i="69"/>
  <c r="N28" i="69"/>
  <c r="M28" i="69"/>
  <c r="O27" i="69"/>
  <c r="N27" i="69"/>
  <c r="M27" i="69"/>
  <c r="O26" i="69"/>
  <c r="N26" i="69"/>
  <c r="M26" i="69"/>
  <c r="O25" i="69"/>
  <c r="N25" i="69"/>
  <c r="M25" i="69"/>
  <c r="O24" i="69"/>
  <c r="N24" i="69"/>
  <c r="M24" i="69"/>
  <c r="O19" i="69"/>
  <c r="N19" i="69"/>
  <c r="M19" i="69"/>
  <c r="O18" i="69"/>
  <c r="N18" i="69"/>
  <c r="M18" i="69"/>
  <c r="O17" i="69"/>
  <c r="N17" i="69"/>
  <c r="M17" i="69"/>
  <c r="O14" i="69"/>
  <c r="N14" i="69"/>
  <c r="P14" i="69" s="1"/>
  <c r="M14" i="69"/>
  <c r="O13" i="69"/>
  <c r="N13" i="69"/>
  <c r="M13" i="69"/>
  <c r="O12" i="69"/>
  <c r="N12" i="69"/>
  <c r="M12" i="69"/>
  <c r="O11" i="69"/>
  <c r="N11" i="69"/>
  <c r="M11" i="69"/>
  <c r="O10" i="69"/>
  <c r="N10" i="69"/>
  <c r="M10" i="69"/>
  <c r="O9" i="69"/>
  <c r="N9" i="69"/>
  <c r="M9" i="69"/>
  <c r="O8" i="69"/>
  <c r="N8" i="69"/>
  <c r="M8" i="69"/>
  <c r="P40" i="67"/>
  <c r="O40" i="67"/>
  <c r="N40" i="67"/>
  <c r="M40" i="67"/>
  <c r="L40" i="67"/>
  <c r="L34" i="67"/>
  <c r="O33" i="67"/>
  <c r="N33" i="67"/>
  <c r="M33" i="67"/>
  <c r="O32" i="67"/>
  <c r="N32" i="67"/>
  <c r="M32" i="67"/>
  <c r="M31" i="67"/>
  <c r="O30" i="67"/>
  <c r="N30" i="67"/>
  <c r="M30" i="67"/>
  <c r="O29" i="67"/>
  <c r="N29" i="67"/>
  <c r="M29" i="67"/>
  <c r="O28" i="67"/>
  <c r="N28" i="67"/>
  <c r="M28" i="67"/>
  <c r="O27" i="67"/>
  <c r="P27" i="67" s="1"/>
  <c r="N27" i="67"/>
  <c r="M27" i="67"/>
  <c r="O26" i="67"/>
  <c r="N26" i="67"/>
  <c r="M26" i="67"/>
  <c r="O25" i="67"/>
  <c r="N25" i="67"/>
  <c r="M25" i="67"/>
  <c r="O24" i="67"/>
  <c r="N24" i="67"/>
  <c r="M24" i="67"/>
  <c r="O23" i="67"/>
  <c r="P23" i="67" s="1"/>
  <c r="N23" i="67"/>
  <c r="M23" i="67"/>
  <c r="O19" i="67"/>
  <c r="N19" i="67"/>
  <c r="M19" i="67"/>
  <c r="O18" i="67"/>
  <c r="N18" i="67"/>
  <c r="M18" i="67"/>
  <c r="O17" i="67"/>
  <c r="N17" i="67"/>
  <c r="M17" i="67"/>
  <c r="O14" i="67"/>
  <c r="N14" i="67"/>
  <c r="M14" i="67"/>
  <c r="O13" i="67"/>
  <c r="N13" i="67"/>
  <c r="M13" i="67"/>
  <c r="O12" i="67"/>
  <c r="N12" i="67"/>
  <c r="M12" i="67"/>
  <c r="O11" i="67"/>
  <c r="N11" i="67"/>
  <c r="M11" i="67"/>
  <c r="O10" i="67"/>
  <c r="N10" i="67"/>
  <c r="M10" i="67"/>
  <c r="O9" i="67"/>
  <c r="N9" i="67"/>
  <c r="M9" i="67"/>
  <c r="O8" i="67"/>
  <c r="N8" i="67"/>
  <c r="M8" i="67"/>
  <c r="P39" i="66"/>
  <c r="O39" i="66"/>
  <c r="N39" i="66"/>
  <c r="M39" i="66"/>
  <c r="L39" i="66"/>
  <c r="L33" i="66"/>
  <c r="O32" i="66"/>
  <c r="N32" i="66"/>
  <c r="M32" i="66"/>
  <c r="O31" i="66"/>
  <c r="N31" i="66"/>
  <c r="M31" i="66"/>
  <c r="M30" i="66"/>
  <c r="O29" i="66"/>
  <c r="N29" i="66"/>
  <c r="M29" i="66"/>
  <c r="O28" i="66"/>
  <c r="N28" i="66"/>
  <c r="M28" i="66"/>
  <c r="P28" i="66" s="1"/>
  <c r="O27" i="66"/>
  <c r="N27" i="66"/>
  <c r="M27" i="66"/>
  <c r="O26" i="66"/>
  <c r="N26" i="66"/>
  <c r="M26" i="66"/>
  <c r="O25" i="66"/>
  <c r="N25" i="66"/>
  <c r="M25" i="66"/>
  <c r="O24" i="66"/>
  <c r="N24" i="66"/>
  <c r="M24" i="66"/>
  <c r="O23" i="66"/>
  <c r="N23" i="66"/>
  <c r="M23" i="66"/>
  <c r="O22" i="66"/>
  <c r="N22" i="66"/>
  <c r="M22" i="66"/>
  <c r="O19" i="66"/>
  <c r="N19" i="66"/>
  <c r="M19" i="66"/>
  <c r="O18" i="66"/>
  <c r="N18" i="66"/>
  <c r="M18" i="66"/>
  <c r="O17" i="66"/>
  <c r="N17" i="66"/>
  <c r="M17" i="66"/>
  <c r="O14" i="66"/>
  <c r="N14" i="66"/>
  <c r="M14" i="66"/>
  <c r="O13" i="66"/>
  <c r="N13" i="66"/>
  <c r="M13" i="66"/>
  <c r="O12" i="66"/>
  <c r="N12" i="66"/>
  <c r="M12" i="66"/>
  <c r="O11" i="66"/>
  <c r="N11" i="66"/>
  <c r="M11" i="66"/>
  <c r="O10" i="66"/>
  <c r="N10" i="66"/>
  <c r="M10" i="66"/>
  <c r="O9" i="66"/>
  <c r="N9" i="66"/>
  <c r="M9" i="66"/>
  <c r="O8" i="66"/>
  <c r="N8" i="66"/>
  <c r="M8" i="66"/>
  <c r="P24" i="69" l="1"/>
  <c r="P28" i="69"/>
  <c r="P17" i="69"/>
  <c r="P9" i="69"/>
  <c r="M35" i="69"/>
  <c r="P13" i="69"/>
  <c r="P12" i="69"/>
  <c r="O35" i="69"/>
  <c r="P11" i="69"/>
  <c r="P10" i="69"/>
  <c r="P30" i="69"/>
  <c r="P19" i="69"/>
  <c r="P27" i="69"/>
  <c r="P31" i="69"/>
  <c r="P18" i="69"/>
  <c r="P26" i="69"/>
  <c r="P25" i="69"/>
  <c r="P29" i="69"/>
  <c r="P34" i="69"/>
  <c r="P33" i="69"/>
  <c r="N35" i="69"/>
  <c r="P8" i="69"/>
  <c r="P33" i="67"/>
  <c r="P14" i="67"/>
  <c r="N34" i="67"/>
  <c r="P10" i="67"/>
  <c r="M34" i="67"/>
  <c r="P26" i="67"/>
  <c r="O34" i="67"/>
  <c r="P12" i="67"/>
  <c r="P18" i="67"/>
  <c r="P25" i="67"/>
  <c r="P29" i="67"/>
  <c r="P9" i="67"/>
  <c r="P13" i="67"/>
  <c r="P19" i="67"/>
  <c r="P30" i="67"/>
  <c r="P11" i="67"/>
  <c r="P17" i="67"/>
  <c r="P24" i="67"/>
  <c r="P28" i="67"/>
  <c r="P32" i="67"/>
  <c r="P8" i="67"/>
  <c r="P14" i="66"/>
  <c r="P25" i="66"/>
  <c r="P29" i="66"/>
  <c r="P31" i="66"/>
  <c r="P19" i="66"/>
  <c r="P24" i="66"/>
  <c r="P18" i="66"/>
  <c r="P23" i="66"/>
  <c r="P27" i="66"/>
  <c r="N33" i="66"/>
  <c r="P17" i="66"/>
  <c r="P22" i="66"/>
  <c r="P26" i="66"/>
  <c r="P13" i="66"/>
  <c r="P12" i="66"/>
  <c r="P11" i="66"/>
  <c r="P10" i="66"/>
  <c r="O33" i="66"/>
  <c r="P9" i="66"/>
  <c r="M33" i="66"/>
  <c r="P8" i="66"/>
  <c r="P32" i="66"/>
  <c r="P35" i="69" l="1"/>
  <c r="L38" i="69" s="1"/>
  <c r="P34" i="67"/>
  <c r="L37" i="67" s="1"/>
  <c r="P33" i="66"/>
  <c r="L36" i="66" s="1"/>
</calcChain>
</file>

<file path=xl/sharedStrings.xml><?xml version="1.0" encoding="utf-8"?>
<sst xmlns="http://schemas.openxmlformats.org/spreadsheetml/2006/main" count="246" uniqueCount="59">
  <si>
    <t>Francisco Hernández</t>
  </si>
  <si>
    <t>Gerencia de Administración y Finanzas</t>
  </si>
  <si>
    <t>Total cajas lata</t>
  </si>
  <si>
    <t>Total 20 PET</t>
  </si>
  <si>
    <t>Total 20 SS</t>
  </si>
  <si>
    <t>Total 60´s</t>
  </si>
  <si>
    <t>Total cajas botella</t>
  </si>
  <si>
    <t>Diferencia de litros contra inventario anterior</t>
  </si>
  <si>
    <t>Adobe Red</t>
  </si>
  <si>
    <t>Adobe Golden</t>
  </si>
  <si>
    <t>Tuna Turner</t>
  </si>
  <si>
    <t>Perro del Mar</t>
  </si>
  <si>
    <t>Veraniega</t>
  </si>
  <si>
    <t>Harry Polanco</t>
  </si>
  <si>
    <t xml:space="preserve">Vaquita Marina </t>
  </si>
  <si>
    <t>Foca Parlante</t>
  </si>
  <si>
    <t>Pet</t>
  </si>
  <si>
    <t>Steel</t>
  </si>
  <si>
    <t>Litros totales</t>
  </si>
  <si>
    <t>Litros barril</t>
  </si>
  <si>
    <t>Litros lata</t>
  </si>
  <si>
    <t>Litros botella</t>
  </si>
  <si>
    <t>Barriles "Low fill" (en litros)</t>
  </si>
  <si>
    <t>Caducidad</t>
  </si>
  <si>
    <t>Lote</t>
  </si>
  <si>
    <t>Lata suelta</t>
  </si>
  <si>
    <t>Caja lata</t>
  </si>
  <si>
    <t>20´s</t>
  </si>
  <si>
    <t>60´s</t>
  </si>
  <si>
    <t>Botella suelta</t>
  </si>
  <si>
    <t>Caja botella</t>
  </si>
  <si>
    <t>Cerveza</t>
  </si>
  <si>
    <t>Apartado</t>
  </si>
  <si>
    <t>Fecha</t>
  </si>
  <si>
    <t>INVENTARIO FÍSICO EN ALMACEN</t>
  </si>
  <si>
    <t>LINEA</t>
  </si>
  <si>
    <t>Mix 12-Pack Blanco</t>
  </si>
  <si>
    <t>TEMPORADA</t>
  </si>
  <si>
    <t>Shiosai TIDEWAY / MURAJIRO</t>
  </si>
  <si>
    <t>ETIQUETA EXCLUSIVA</t>
  </si>
  <si>
    <t>Vida Mia Amarilla</t>
  </si>
  <si>
    <t>Vida Mia Red</t>
  </si>
  <si>
    <t>Vida Mia IPA</t>
  </si>
  <si>
    <t>Vida Mia Pale Ale</t>
  </si>
  <si>
    <t>Mi Chante Hacienda</t>
  </si>
  <si>
    <t>Mi Chante Potrero</t>
  </si>
  <si>
    <t>Harry Polanco sin etiqueta</t>
  </si>
  <si>
    <t>Wellen Calma citrico</t>
  </si>
  <si>
    <t>W3</t>
  </si>
  <si>
    <t>Gerencia de Operaciones</t>
  </si>
  <si>
    <t>Raúl Medina</t>
  </si>
  <si>
    <t>Robots cant brew</t>
  </si>
  <si>
    <t>Veraniega sin etiqueta</t>
  </si>
  <si>
    <t>Costa Izquierda</t>
  </si>
  <si>
    <t>Catch of the Day</t>
  </si>
  <si>
    <t>Horas Extras</t>
  </si>
  <si>
    <t>Vida Mia IPA (aun no tienen etiqueta)</t>
  </si>
  <si>
    <t>Blind Pirate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</si>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</sst>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d\-mmm\-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4"/>
      <color theme="1"/>
      <name val="Century Gothic"/>
      <family val="2"/>
    </font>
    <font>
      <sz val="11"/>
      <name val="Aptos Narrow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8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1" tint="0.49998474074526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7F7F7F"/>
      </patternFill>
    </fill>
    <fill>
      <patternFill patternType="solid">
        <fgColor theme="0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rgb="FF7F7F7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4" fontId="1" fillId="0" borderId="0" xfId="0" applyNumberFormat="1" applyFont="1" applyAlignment="1">
      <alignment horizontal="center"/>
    </xf>
    <xf numFmtId="0" fontId="5" fillId="0" borderId="0" xfId="1" applyFont="1"/>
    <xf numFmtId="0" fontId="2" fillId="0" borderId="0" xfId="1"/>
    <xf numFmtId="0" fontId="6" fillId="2" borderId="5" xfId="1" applyFont="1" applyFill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3" borderId="5" xfId="1" applyFont="1" applyFill="1" applyBorder="1" applyAlignment="1">
      <alignment horizontal="center" shrinkToFit="1"/>
    </xf>
    <xf numFmtId="0" fontId="5" fillId="0" borderId="0" xfId="1" applyFont="1" applyAlignment="1">
      <alignment horizontal="righ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right" vertical="center" wrapText="1"/>
    </xf>
    <xf numFmtId="0" fontId="5" fillId="0" borderId="1" xfId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8" fillId="4" borderId="0" xfId="1" applyFont="1" applyFill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0" fontId="5" fillId="4" borderId="1" xfId="1" applyFont="1" applyFill="1" applyBorder="1" applyAlignment="1">
      <alignment horizontal="right" vertical="center"/>
    </xf>
    <xf numFmtId="0" fontId="5" fillId="5" borderId="1" xfId="1" applyFont="1" applyFill="1" applyBorder="1" applyAlignment="1">
      <alignment horizontal="center" vertical="center"/>
    </xf>
    <xf numFmtId="3" fontId="5" fillId="0" borderId="0" xfId="1" applyNumberFormat="1" applyFont="1" applyAlignment="1">
      <alignment horizontal="center"/>
    </xf>
    <xf numFmtId="4" fontId="5" fillId="0" borderId="11" xfId="1" applyNumberFormat="1" applyFont="1" applyBorder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right" vertical="center"/>
    </xf>
    <xf numFmtId="0" fontId="5" fillId="7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/>
    </xf>
    <xf numFmtId="4" fontId="5" fillId="0" borderId="12" xfId="1" applyNumberFormat="1" applyFont="1" applyBorder="1" applyAlignment="1">
      <alignment horizontal="center"/>
    </xf>
    <xf numFmtId="15" fontId="5" fillId="0" borderId="0" xfId="1" applyNumberFormat="1" applyFont="1" applyAlignment="1">
      <alignment horizontal="center" vertical="center"/>
    </xf>
    <xf numFmtId="4" fontId="5" fillId="0" borderId="13" xfId="1" applyNumberFormat="1" applyFont="1" applyBorder="1" applyAlignment="1">
      <alignment horizontal="center"/>
    </xf>
    <xf numFmtId="4" fontId="5" fillId="0" borderId="0" xfId="1" applyNumberFormat="1" applyFont="1"/>
    <xf numFmtId="0" fontId="5" fillId="0" borderId="17" xfId="1" applyFont="1" applyBorder="1"/>
    <xf numFmtId="2" fontId="5" fillId="0" borderId="0" xfId="1" applyNumberFormat="1" applyFont="1"/>
    <xf numFmtId="0" fontId="9" fillId="2" borderId="8" xfId="1" applyFont="1" applyFill="1" applyBorder="1" applyAlignment="1">
      <alignment horizontal="center" vertical="center" wrapText="1"/>
    </xf>
    <xf numFmtId="4" fontId="5" fillId="0" borderId="18" xfId="1" applyNumberFormat="1" applyFont="1" applyBorder="1" applyAlignment="1">
      <alignment horizontal="center"/>
    </xf>
    <xf numFmtId="4" fontId="5" fillId="0" borderId="19" xfId="1" applyNumberFormat="1" applyFont="1" applyBorder="1" applyAlignment="1">
      <alignment horizontal="center"/>
    </xf>
    <xf numFmtId="4" fontId="5" fillId="0" borderId="20" xfId="1" applyNumberFormat="1" applyFont="1" applyBorder="1" applyAlignment="1">
      <alignment horizontal="center"/>
    </xf>
    <xf numFmtId="0" fontId="5" fillId="10" borderId="1" xfId="1" applyFont="1" applyFill="1" applyBorder="1" applyAlignment="1">
      <alignment horizontal="center" vertical="center"/>
    </xf>
    <xf numFmtId="0" fontId="5" fillId="11" borderId="1" xfId="1" applyFont="1" applyFill="1" applyBorder="1" applyAlignment="1">
      <alignment horizontal="center" vertical="center"/>
    </xf>
    <xf numFmtId="0" fontId="4" fillId="0" borderId="0" xfId="1" applyFont="1"/>
    <xf numFmtId="0" fontId="10" fillId="0" borderId="0" xfId="1" applyFont="1" applyAlignment="1">
      <alignment horizontal="center" vertical="center" wrapText="1"/>
    </xf>
    <xf numFmtId="4" fontId="5" fillId="0" borderId="0" xfId="1" applyNumberFormat="1" applyFont="1" applyAlignment="1">
      <alignment horizontal="center"/>
    </xf>
    <xf numFmtId="0" fontId="5" fillId="0" borderId="0" xfId="1" applyFont="1" applyAlignment="1">
      <alignment wrapText="1"/>
    </xf>
    <xf numFmtId="0" fontId="10" fillId="0" borderId="0" xfId="1" applyFont="1" applyAlignment="1">
      <alignment vertical="center" wrapText="1"/>
    </xf>
    <xf numFmtId="0" fontId="6" fillId="0" borderId="0" xfId="1" applyFont="1" applyAlignment="1">
      <alignment horizontal="center" shrinkToFit="1"/>
    </xf>
    <xf numFmtId="0" fontId="8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6" fillId="0" borderId="0" xfId="1" applyFont="1" applyAlignment="1">
      <alignment wrapText="1"/>
    </xf>
    <xf numFmtId="0" fontId="6" fillId="0" borderId="0" xfId="1" applyFont="1" applyAlignment="1">
      <alignment vertical="top"/>
    </xf>
    <xf numFmtId="0" fontId="5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right" vertical="center"/>
    </xf>
    <xf numFmtId="165" fontId="5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7" fillId="2" borderId="21" xfId="1" applyFont="1" applyFill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/>
    </xf>
    <xf numFmtId="0" fontId="5" fillId="9" borderId="22" xfId="1" applyFont="1" applyFill="1" applyBorder="1" applyAlignment="1">
      <alignment horizontal="center" vertical="center"/>
    </xf>
    <xf numFmtId="0" fontId="5" fillId="0" borderId="22" xfId="1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2" fillId="0" borderId="1" xfId="1" applyBorder="1"/>
    <xf numFmtId="0" fontId="2" fillId="0" borderId="1" xfId="1" applyBorder="1" applyAlignment="1">
      <alignment horizontal="center"/>
    </xf>
    <xf numFmtId="0" fontId="2" fillId="10" borderId="1" xfId="1" applyFill="1" applyBorder="1" applyAlignment="1">
      <alignment horizontal="center"/>
    </xf>
    <xf numFmtId="0" fontId="5" fillId="4" borderId="22" xfId="1" applyFont="1" applyFill="1" applyBorder="1" applyAlignment="1">
      <alignment vertical="center"/>
    </xf>
    <xf numFmtId="0" fontId="5" fillId="4" borderId="23" xfId="1" applyFont="1" applyFill="1" applyBorder="1" applyAlignment="1">
      <alignment horizontal="center" vertical="center"/>
    </xf>
    <xf numFmtId="0" fontId="5" fillId="10" borderId="22" xfId="1" applyFont="1" applyFill="1" applyBorder="1" applyAlignment="1">
      <alignment vertical="center"/>
    </xf>
    <xf numFmtId="0" fontId="5" fillId="10" borderId="23" xfId="1" applyFont="1" applyFill="1" applyBorder="1" applyAlignment="1">
      <alignment horizontal="center" vertical="center"/>
    </xf>
    <xf numFmtId="0" fontId="5" fillId="9" borderId="22" xfId="1" applyFont="1" applyFill="1" applyBorder="1" applyAlignment="1">
      <alignment vertical="center"/>
    </xf>
    <xf numFmtId="0" fontId="5" fillId="9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1" fillId="0" borderId="1" xfId="1" applyFont="1" applyBorder="1"/>
    <xf numFmtId="0" fontId="7" fillId="2" borderId="2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4" fillId="0" borderId="0" xfId="1" applyFont="1"/>
    <xf numFmtId="164" fontId="5" fillId="0" borderId="6" xfId="1" applyNumberFormat="1" applyFont="1" applyBorder="1" applyAlignment="1">
      <alignment horizontal="center" vertical="center"/>
    </xf>
    <xf numFmtId="0" fontId="4" fillId="0" borderId="6" xfId="1" applyFont="1" applyBorder="1"/>
    <xf numFmtId="0" fontId="4" fillId="0" borderId="7" xfId="1" applyFont="1" applyBorder="1"/>
    <xf numFmtId="0" fontId="4" fillId="0" borderId="9" xfId="1" applyFont="1" applyBorder="1"/>
    <xf numFmtId="0" fontId="7" fillId="2" borderId="26" xfId="1" applyFont="1" applyFill="1" applyBorder="1" applyAlignment="1">
      <alignment horizontal="center" vertical="center" wrapText="1"/>
    </xf>
    <xf numFmtId="0" fontId="4" fillId="0" borderId="24" xfId="1" applyFont="1" applyBorder="1"/>
    <xf numFmtId="0" fontId="7" fillId="2" borderId="27" xfId="1" applyFont="1" applyFill="1" applyBorder="1" applyAlignment="1">
      <alignment horizontal="center" vertical="center" wrapText="1"/>
    </xf>
    <xf numFmtId="0" fontId="4" fillId="0" borderId="28" xfId="1" applyFont="1" applyBorder="1"/>
    <xf numFmtId="0" fontId="8" fillId="0" borderId="0" xfId="1" applyFont="1" applyAlignment="1">
      <alignment horizontal="center" vertical="center" wrapText="1"/>
    </xf>
    <xf numFmtId="0" fontId="3" fillId="2" borderId="2" xfId="1" applyFont="1" applyFill="1" applyBorder="1" applyAlignment="1">
      <alignment horizontal="center"/>
    </xf>
    <xf numFmtId="0" fontId="4" fillId="0" borderId="3" xfId="1" applyFont="1" applyBorder="1"/>
    <xf numFmtId="0" fontId="4" fillId="0" borderId="4" xfId="1" applyFont="1" applyBorder="1"/>
    <xf numFmtId="0" fontId="5" fillId="0" borderId="0" xfId="1" applyFont="1" applyAlignment="1">
      <alignment horizontal="center"/>
    </xf>
    <xf numFmtId="0" fontId="2" fillId="0" borderId="0" xfId="1"/>
    <xf numFmtId="0" fontId="8" fillId="2" borderId="8" xfId="1" applyFont="1" applyFill="1" applyBorder="1" applyAlignment="1">
      <alignment horizontal="center" vertical="center" wrapText="1"/>
    </xf>
    <xf numFmtId="0" fontId="4" fillId="0" borderId="10" xfId="1" applyFont="1" applyBorder="1"/>
    <xf numFmtId="0" fontId="6" fillId="2" borderId="2" xfId="1" applyFont="1" applyFill="1" applyBorder="1" applyAlignment="1">
      <alignment horizontal="center" wrapText="1"/>
    </xf>
    <xf numFmtId="4" fontId="5" fillId="0" borderId="14" xfId="1" applyNumberFormat="1" applyFont="1" applyBorder="1" applyAlignment="1">
      <alignment horizontal="center"/>
    </xf>
    <xf numFmtId="0" fontId="4" fillId="0" borderId="15" xfId="1" applyFont="1" applyBorder="1"/>
    <xf numFmtId="0" fontId="4" fillId="0" borderId="16" xfId="1" applyFont="1" applyBorder="1"/>
    <xf numFmtId="0" fontId="9" fillId="2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wrapText="1"/>
    </xf>
    <xf numFmtId="0" fontId="6" fillId="0" borderId="0" xfId="1" applyFont="1" applyAlignment="1">
      <alignment horizontal="center" vertical="top"/>
    </xf>
  </cellXfs>
  <cellStyles count="2">
    <cellStyle name="Normal" xfId="0" builtinId="0"/>
    <cellStyle name="Normal 2" xfId="1" xr:uid="{9CE469C6-EAE0-4440-98EB-BAB31D186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2E8D-BEA0-484D-86F4-B16B35A893D0}">
  <dimension ref="A1:Z1003"/>
  <sheetViews>
    <sheetView tabSelected="1" zoomScaleNormal="100" workbookViewId="0">
      <selection activeCell="L7" sqref="L7"/>
    </sheetView>
  </sheetViews>
  <sheetFormatPr baseColWidth="10" defaultColWidth="12.5703125" defaultRowHeight="15" customHeight="1" x14ac:dyDescent="0.25"/>
  <cols>
    <col min="1" max="1" width="42.28515625" style="3" customWidth="1"/>
    <col min="2" max="2" width="19.5703125" style="3" customWidth="1"/>
    <col min="3" max="6" width="13" style="3" customWidth="1"/>
    <col min="7" max="7" width="16.28515625" style="3" customWidth="1"/>
    <col min="8" max="8" width="22.7109375" style="3" customWidth="1"/>
    <col min="9" max="9" width="18.5703125" style="3" customWidth="1"/>
    <col min="10" max="10" width="34" style="3" customWidth="1"/>
    <col min="11" max="26" width="13" style="3" customWidth="1"/>
    <col min="27" max="16384" width="12.5703125" style="3"/>
  </cols>
  <sheetData>
    <row r="1" spans="1:26" ht="16.5" customHeight="1" x14ac:dyDescent="0.3">
      <c r="A1" s="65" t="s">
        <v>34</v>
      </c>
      <c r="B1" s="66"/>
      <c r="C1" s="66"/>
      <c r="D1" s="66"/>
      <c r="E1" s="66"/>
      <c r="F1" s="66"/>
      <c r="G1" s="66"/>
      <c r="H1" s="66"/>
      <c r="I1" s="66"/>
      <c r="J1" s="3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thickBot="1" x14ac:dyDescent="0.35">
      <c r="A3" s="4" t="s">
        <v>33</v>
      </c>
      <c r="B3" s="75"/>
      <c r="C3" s="76"/>
      <c r="D3" s="77"/>
      <c r="E3" s="5"/>
      <c r="F3" s="5"/>
      <c r="G3" s="5"/>
      <c r="H3" s="2"/>
      <c r="I3" s="2"/>
      <c r="J3" s="2"/>
      <c r="K3" s="2"/>
      <c r="L3" s="4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thickBot="1" x14ac:dyDescent="0.35">
      <c r="A4" s="7"/>
      <c r="B4" s="7"/>
      <c r="C4" s="7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thickBot="1" x14ac:dyDescent="0.35">
      <c r="A5" s="71" t="s">
        <v>31</v>
      </c>
      <c r="B5" s="71" t="s">
        <v>30</v>
      </c>
      <c r="C5" s="79" t="s">
        <v>29</v>
      </c>
      <c r="D5" s="67" t="s">
        <v>58</v>
      </c>
      <c r="E5" s="81" t="s">
        <v>28</v>
      </c>
      <c r="F5" s="69" t="s">
        <v>27</v>
      </c>
      <c r="G5" s="70"/>
      <c r="H5" s="71" t="s">
        <v>24</v>
      </c>
      <c r="I5" s="71" t="s">
        <v>23</v>
      </c>
      <c r="K5" s="2"/>
      <c r="L5" s="83"/>
      <c r="M5" s="73"/>
      <c r="N5" s="73"/>
      <c r="O5" s="73"/>
      <c r="P5" s="73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x14ac:dyDescent="0.3">
      <c r="A6" s="78"/>
      <c r="B6" s="78"/>
      <c r="C6" s="80"/>
      <c r="D6" s="68"/>
      <c r="E6" s="82"/>
      <c r="F6" s="51" t="s">
        <v>17</v>
      </c>
      <c r="G6" s="51" t="s">
        <v>16</v>
      </c>
      <c r="H6" s="72"/>
      <c r="I6" s="72"/>
      <c r="K6" s="2"/>
      <c r="L6" s="74"/>
      <c r="M6" s="74"/>
      <c r="N6" s="74"/>
      <c r="O6" s="74"/>
      <c r="P6" s="74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3">
      <c r="A7" s="9" t="s">
        <v>35</v>
      </c>
      <c r="B7" s="10"/>
      <c r="C7" s="10"/>
      <c r="D7" s="57"/>
      <c r="E7" s="10"/>
      <c r="F7" s="54"/>
      <c r="G7" s="55"/>
      <c r="H7" s="10"/>
      <c r="I7" s="11"/>
      <c r="K7" s="2"/>
      <c r="L7" s="43"/>
      <c r="M7" s="44"/>
      <c r="N7" s="44"/>
      <c r="O7" s="44"/>
      <c r="P7" s="44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">
      <c r="A8" s="14" t="s">
        <v>11</v>
      </c>
      <c r="B8" s="10"/>
      <c r="C8" s="10"/>
      <c r="D8" s="57"/>
      <c r="E8" s="10"/>
      <c r="F8" s="56"/>
      <c r="G8" s="52"/>
      <c r="H8" s="10"/>
      <c r="I8" s="11"/>
      <c r="K8" s="2"/>
      <c r="L8" s="16"/>
      <c r="M8" s="16"/>
      <c r="N8" s="16"/>
      <c r="O8" s="16"/>
      <c r="P8" s="39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14" t="s">
        <v>12</v>
      </c>
      <c r="B9" s="10"/>
      <c r="C9" s="10"/>
      <c r="D9" s="57"/>
      <c r="E9" s="10"/>
      <c r="F9" s="56"/>
      <c r="G9" s="52"/>
      <c r="H9" s="10"/>
      <c r="I9" s="11"/>
      <c r="K9" s="2"/>
      <c r="L9" s="16"/>
      <c r="M9" s="16"/>
      <c r="N9" s="16"/>
      <c r="O9" s="16"/>
      <c r="P9" s="39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">
      <c r="A10" s="14" t="s">
        <v>13</v>
      </c>
      <c r="B10" s="10"/>
      <c r="C10" s="10"/>
      <c r="D10" s="57"/>
      <c r="E10" s="10"/>
      <c r="F10" s="56"/>
      <c r="G10" s="52"/>
      <c r="H10" s="10"/>
      <c r="I10" s="11"/>
      <c r="K10" s="2"/>
      <c r="L10" s="16"/>
      <c r="M10" s="16"/>
      <c r="N10" s="16"/>
      <c r="O10" s="16"/>
      <c r="P10" s="39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">
      <c r="A11" s="14" t="s">
        <v>15</v>
      </c>
      <c r="B11" s="10"/>
      <c r="C11" s="10"/>
      <c r="D11" s="57"/>
      <c r="E11" s="10"/>
      <c r="F11" s="56"/>
      <c r="G11" s="52"/>
      <c r="H11" s="10"/>
      <c r="I11" s="11"/>
      <c r="K11" s="2"/>
      <c r="L11" s="16"/>
      <c r="M11" s="16"/>
      <c r="N11" s="16"/>
      <c r="O11" s="16"/>
      <c r="P11" s="3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4" t="s">
        <v>14</v>
      </c>
      <c r="B12" s="10"/>
      <c r="C12" s="10"/>
      <c r="D12" s="57"/>
      <c r="E12" s="10"/>
      <c r="F12" s="56"/>
      <c r="G12" s="52"/>
      <c r="H12" s="10"/>
      <c r="I12" s="11"/>
      <c r="K12" s="2"/>
      <c r="L12" s="16"/>
      <c r="M12" s="16"/>
      <c r="N12" s="16"/>
      <c r="O12" s="16"/>
      <c r="P12" s="3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">
      <c r="A13" s="14" t="s">
        <v>10</v>
      </c>
      <c r="B13" s="10"/>
      <c r="C13" s="10"/>
      <c r="D13" s="57"/>
      <c r="E13" s="10"/>
      <c r="F13" s="56"/>
      <c r="G13" s="52"/>
      <c r="H13" s="10"/>
      <c r="I13" s="11"/>
      <c r="K13" s="2"/>
      <c r="L13" s="16"/>
      <c r="M13" s="16"/>
      <c r="N13" s="16"/>
      <c r="O13" s="16"/>
      <c r="P13" s="3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3">
      <c r="A14" s="14" t="s">
        <v>36</v>
      </c>
      <c r="B14" s="18"/>
      <c r="C14" s="18"/>
      <c r="D14" s="58"/>
      <c r="E14" s="18"/>
      <c r="F14" s="59"/>
      <c r="G14" s="60"/>
      <c r="H14" s="18"/>
      <c r="I14" s="20"/>
      <c r="K14" s="2"/>
      <c r="L14" s="16"/>
      <c r="M14" s="16"/>
      <c r="N14" s="16"/>
      <c r="O14" s="16"/>
      <c r="P14" s="3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14"/>
      <c r="B15" s="10"/>
      <c r="C15" s="35"/>
      <c r="D15" s="58"/>
      <c r="E15" s="35"/>
      <c r="F15" s="61"/>
      <c r="G15" s="62"/>
      <c r="H15" s="10"/>
      <c r="I15" s="11"/>
      <c r="K15" s="2"/>
      <c r="L15" s="16"/>
      <c r="M15" s="16"/>
      <c r="N15" s="16"/>
      <c r="O15" s="16"/>
      <c r="P15" s="3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3">
      <c r="A16" s="21" t="s">
        <v>37</v>
      </c>
      <c r="B16" s="10"/>
      <c r="C16" s="35"/>
      <c r="D16" s="58"/>
      <c r="E16" s="35"/>
      <c r="F16" s="61"/>
      <c r="G16" s="62"/>
      <c r="H16" s="10"/>
      <c r="I16" s="11"/>
      <c r="K16" s="2"/>
      <c r="L16" s="16"/>
      <c r="M16" s="16"/>
      <c r="N16" s="16"/>
      <c r="O16" s="16"/>
      <c r="P16" s="3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">
      <c r="A17" s="14" t="s">
        <v>38</v>
      </c>
      <c r="B17" s="24"/>
      <c r="C17" s="24"/>
      <c r="D17" s="58"/>
      <c r="E17" s="24"/>
      <c r="F17" s="63"/>
      <c r="G17" s="64"/>
      <c r="H17" s="10"/>
      <c r="I17" s="11"/>
      <c r="K17" s="2"/>
      <c r="L17" s="16"/>
      <c r="M17" s="16"/>
      <c r="N17" s="16"/>
      <c r="O17" s="16"/>
      <c r="P17" s="3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">
      <c r="A18" s="14" t="s">
        <v>53</v>
      </c>
      <c r="B18" s="24"/>
      <c r="C18" s="24"/>
      <c r="D18" s="57"/>
      <c r="E18" s="24"/>
      <c r="F18" s="56"/>
      <c r="G18" s="53"/>
      <c r="H18" s="35"/>
      <c r="I18" s="11"/>
      <c r="K18" s="2"/>
      <c r="L18" s="16"/>
      <c r="M18" s="16"/>
      <c r="N18" s="16"/>
      <c r="O18" s="16"/>
      <c r="P18" s="3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">
      <c r="A19" s="14" t="s">
        <v>55</v>
      </c>
      <c r="B19" s="24"/>
      <c r="C19" s="24"/>
      <c r="D19" s="57"/>
      <c r="E19" s="24"/>
      <c r="F19" s="56"/>
      <c r="G19" s="53"/>
      <c r="H19" s="35"/>
      <c r="I19" s="11"/>
      <c r="K19" s="2"/>
      <c r="L19" s="16"/>
      <c r="M19" s="16"/>
      <c r="N19" s="16"/>
      <c r="O19" s="16"/>
      <c r="P19" s="3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3">
      <c r="A20" s="14" t="s">
        <v>54</v>
      </c>
      <c r="B20" s="24"/>
      <c r="C20" s="24"/>
      <c r="D20" s="57"/>
      <c r="E20" s="24"/>
      <c r="F20" s="56"/>
      <c r="G20" s="53"/>
      <c r="H20" s="35"/>
      <c r="I20" s="11"/>
      <c r="K20" s="2"/>
      <c r="L20" s="16"/>
      <c r="M20" s="16"/>
      <c r="N20" s="16"/>
      <c r="O20" s="16"/>
      <c r="P20" s="3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3">
      <c r="A21" s="14" t="s">
        <v>57</v>
      </c>
      <c r="B21" s="24"/>
      <c r="C21" s="24"/>
      <c r="D21" s="57"/>
      <c r="E21" s="24"/>
      <c r="F21" s="56"/>
      <c r="G21" s="24"/>
      <c r="H21" s="35"/>
      <c r="I21" s="11"/>
      <c r="K21" s="2"/>
      <c r="L21" s="16"/>
      <c r="M21" s="16"/>
      <c r="N21" s="16"/>
      <c r="O21" s="16"/>
      <c r="P21" s="3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">
      <c r="A22" s="48"/>
      <c r="B22" s="5"/>
      <c r="C22" s="5"/>
      <c r="D22" s="5"/>
      <c r="E22" s="5"/>
      <c r="F22" s="5"/>
      <c r="G22" s="47"/>
      <c r="H22" s="47"/>
      <c r="I22" s="5"/>
      <c r="J22" s="49"/>
      <c r="K22" s="2"/>
      <c r="L22" s="16"/>
      <c r="M22" s="16"/>
      <c r="N22" s="16"/>
      <c r="O22" s="16"/>
      <c r="P22" s="3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3">
      <c r="A23" s="50"/>
      <c r="B23" s="5"/>
      <c r="C23" s="5"/>
      <c r="D23" s="5"/>
      <c r="E23" s="5"/>
      <c r="F23" s="5"/>
      <c r="G23" s="5"/>
      <c r="H23" s="5"/>
      <c r="I23" s="5"/>
      <c r="J23" s="49"/>
      <c r="K23" s="2"/>
      <c r="L23" s="16"/>
      <c r="M23" s="16"/>
      <c r="N23" s="16"/>
      <c r="O23" s="16"/>
      <c r="P23" s="3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3">
      <c r="A24" s="7"/>
      <c r="B24" s="5"/>
      <c r="C24" s="5"/>
      <c r="D24" s="5"/>
      <c r="E24" s="5"/>
      <c r="F24" s="5"/>
      <c r="G24" s="5"/>
      <c r="H24" s="5"/>
      <c r="I24" s="5"/>
      <c r="J24" s="49"/>
      <c r="K24" s="2"/>
      <c r="L24" s="16"/>
      <c r="M24" s="16"/>
      <c r="N24" s="16"/>
      <c r="O24" s="16"/>
      <c r="P24" s="3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">
      <c r="A25" s="7"/>
      <c r="B25" s="5"/>
      <c r="C25" s="5"/>
      <c r="D25" s="5"/>
      <c r="E25" s="5"/>
      <c r="F25" s="5"/>
      <c r="G25" s="5"/>
      <c r="H25" s="5"/>
      <c r="I25" s="5"/>
      <c r="J25" s="49"/>
      <c r="K25" s="2"/>
      <c r="L25" s="16"/>
      <c r="M25" s="16"/>
      <c r="N25" s="16"/>
      <c r="O25" s="16"/>
      <c r="P25" s="3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7"/>
      <c r="B26" s="5"/>
      <c r="C26" s="5"/>
      <c r="D26" s="5"/>
      <c r="E26" s="5"/>
      <c r="F26" s="5"/>
      <c r="G26" s="5"/>
      <c r="H26" s="5"/>
      <c r="I26" s="5"/>
      <c r="J26" s="49"/>
      <c r="K26" s="2"/>
      <c r="L26" s="16"/>
      <c r="M26" s="16"/>
      <c r="N26" s="16"/>
      <c r="O26" s="16"/>
      <c r="P26" s="3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3">
      <c r="A27" s="7"/>
      <c r="B27" s="5"/>
      <c r="C27" s="5"/>
      <c r="D27" s="5"/>
      <c r="E27" s="5"/>
      <c r="F27" s="5"/>
      <c r="G27" s="5"/>
      <c r="H27" s="5"/>
      <c r="I27" s="5"/>
      <c r="J27" s="49"/>
      <c r="K27" s="2"/>
      <c r="L27" s="16"/>
      <c r="M27" s="16"/>
      <c r="N27" s="16"/>
      <c r="O27" s="16"/>
      <c r="P27" s="3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3">
      <c r="A28" s="7"/>
      <c r="B28" s="5"/>
      <c r="C28" s="5"/>
      <c r="D28" s="5"/>
      <c r="E28" s="5"/>
      <c r="F28" s="5"/>
      <c r="G28" s="5"/>
      <c r="H28" s="5"/>
      <c r="I28" s="5"/>
      <c r="J28" s="49"/>
      <c r="K28" s="2"/>
      <c r="L28" s="16"/>
      <c r="M28" s="16"/>
      <c r="N28" s="16"/>
      <c r="O28" s="16"/>
      <c r="P28" s="3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3">
      <c r="A29" s="7"/>
      <c r="B29" s="5"/>
      <c r="C29" s="5"/>
      <c r="D29" s="5"/>
      <c r="E29" s="5"/>
      <c r="F29" s="5"/>
      <c r="G29" s="5"/>
      <c r="H29" s="5"/>
      <c r="I29" s="5"/>
      <c r="J29" s="49"/>
      <c r="K29" s="2"/>
      <c r="L29" s="16"/>
      <c r="M29" s="16"/>
      <c r="N29" s="16"/>
      <c r="O29" s="16"/>
      <c r="P29" s="39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3">
      <c r="A30" s="7"/>
      <c r="B30" s="5"/>
      <c r="C30" s="5"/>
      <c r="D30" s="5"/>
      <c r="E30" s="5"/>
      <c r="F30" s="5"/>
      <c r="G30" s="5"/>
      <c r="H30" s="5"/>
      <c r="I30" s="5"/>
      <c r="J30" s="49"/>
      <c r="K30" s="2"/>
      <c r="L30" s="16"/>
      <c r="M30" s="16"/>
      <c r="N30" s="16"/>
      <c r="O30" s="16"/>
      <c r="P30" s="39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3">
      <c r="A31" s="7"/>
      <c r="B31" s="5"/>
      <c r="C31" s="5"/>
      <c r="D31" s="5"/>
      <c r="E31" s="5"/>
      <c r="F31" s="5"/>
      <c r="G31" s="5"/>
      <c r="H31" s="5"/>
      <c r="I31" s="5"/>
      <c r="J31" s="49"/>
      <c r="K31" s="2"/>
      <c r="L31" s="16"/>
      <c r="M31" s="16"/>
      <c r="N31" s="16"/>
      <c r="O31" s="16"/>
      <c r="P31" s="39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">
      <c r="A32" s="7"/>
      <c r="B32" s="5"/>
      <c r="C32" s="5"/>
      <c r="D32" s="5"/>
      <c r="E32" s="5"/>
      <c r="F32" s="5"/>
      <c r="G32" s="5"/>
      <c r="H32" s="5"/>
      <c r="I32" s="5"/>
      <c r="J32" s="49"/>
      <c r="K32" s="2"/>
      <c r="L32" s="16"/>
      <c r="M32" s="16"/>
      <c r="N32" s="16"/>
      <c r="O32" s="16"/>
      <c r="P32" s="39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">
      <c r="A33" s="7"/>
      <c r="B33" s="5"/>
      <c r="C33" s="5"/>
      <c r="D33" s="5"/>
      <c r="E33" s="5"/>
      <c r="F33" s="5"/>
      <c r="G33" s="5"/>
      <c r="H33" s="5"/>
      <c r="I33" s="5"/>
      <c r="J33" s="49"/>
      <c r="K33" s="2"/>
      <c r="L33" s="16"/>
      <c r="M33" s="16"/>
      <c r="N33" s="16"/>
      <c r="O33" s="16"/>
      <c r="P33" s="39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3">
      <c r="A34" s="7"/>
      <c r="B34" s="5"/>
      <c r="C34" s="5"/>
      <c r="D34" s="5"/>
      <c r="E34" s="5"/>
      <c r="F34" s="5"/>
      <c r="G34" s="5"/>
      <c r="H34" s="5"/>
      <c r="I34" s="5"/>
      <c r="J34" s="49"/>
      <c r="K34" s="2"/>
      <c r="L34" s="16"/>
      <c r="M34" s="16"/>
      <c r="N34" s="16"/>
      <c r="O34" s="16"/>
      <c r="P34" s="39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3">
      <c r="A35" s="7"/>
      <c r="B35" s="5"/>
      <c r="C35" s="5"/>
      <c r="D35" s="5"/>
      <c r="E35" s="5"/>
      <c r="F35" s="5"/>
      <c r="G35" s="5"/>
      <c r="H35" s="5"/>
      <c r="I35" s="5"/>
      <c r="J35" s="26"/>
      <c r="K35" s="2"/>
      <c r="L35" s="39"/>
      <c r="M35" s="39"/>
      <c r="N35" s="39"/>
      <c r="O35" s="39"/>
      <c r="P35" s="39"/>
      <c r="Q35" s="1"/>
      <c r="R35" s="28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40"/>
      <c r="M37" s="37"/>
      <c r="N37" s="37"/>
      <c r="O37" s="37"/>
      <c r="P37" s="3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8"/>
      <c r="M38" s="37"/>
      <c r="N38" s="37"/>
      <c r="O38" s="37"/>
      <c r="P38" s="3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3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41"/>
      <c r="M39" s="37"/>
      <c r="N39" s="37"/>
      <c r="O39" s="37"/>
      <c r="P39" s="3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3">
      <c r="A40" s="2"/>
      <c r="B40" s="45"/>
      <c r="E40" s="2"/>
      <c r="F40" s="2"/>
      <c r="G40" s="46"/>
      <c r="J40" s="30"/>
      <c r="K40" s="2"/>
      <c r="L40" s="38"/>
      <c r="M40" s="38"/>
      <c r="N40" s="38"/>
      <c r="O40" s="38"/>
      <c r="P40" s="38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3">
      <c r="A41" s="2"/>
      <c r="B41" s="2"/>
      <c r="E41" s="2"/>
      <c r="F41" s="2"/>
      <c r="G41" s="2"/>
      <c r="J41" s="2"/>
      <c r="K41" s="2"/>
      <c r="L41" s="39"/>
      <c r="M41" s="39"/>
      <c r="N41" s="39"/>
      <c r="O41" s="39"/>
      <c r="P41" s="39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5">
    <mergeCell ref="O5:O6"/>
    <mergeCell ref="P5:P6"/>
    <mergeCell ref="B3:D3"/>
    <mergeCell ref="A5:A6"/>
    <mergeCell ref="B5:B6"/>
    <mergeCell ref="C5:C6"/>
    <mergeCell ref="E5:E6"/>
    <mergeCell ref="L5:L6"/>
    <mergeCell ref="M5:M6"/>
    <mergeCell ref="N5:N6"/>
    <mergeCell ref="A1:I1"/>
    <mergeCell ref="D5:D6"/>
    <mergeCell ref="F5:G5"/>
    <mergeCell ref="H5:H6"/>
    <mergeCell ref="I5:I6"/>
  </mergeCells>
  <pageMargins left="0.7" right="0.7" top="0.75" bottom="0.75" header="0" footer="0"/>
  <pageSetup paperSize="9" scale="86" orientation="landscape" r:id="rId1"/>
  <rowBreaks count="1" manualBreakCount="1">
    <brk id="34" max="16383" man="1"/>
  </rowBreaks>
  <colBreaks count="2" manualBreakCount="2">
    <brk id="8" max="1048575" man="1"/>
    <brk id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E29A-9896-49B0-A3B6-12FDCFC86152}">
  <dimension ref="A1:Z1002"/>
  <sheetViews>
    <sheetView zoomScaleNormal="100" workbookViewId="0">
      <selection activeCell="B23" sqref="B23:C33"/>
    </sheetView>
  </sheetViews>
  <sheetFormatPr baseColWidth="10" defaultColWidth="12.5703125" defaultRowHeight="15" customHeight="1" x14ac:dyDescent="0.25"/>
  <cols>
    <col min="1" max="1" width="42.28515625" style="3" customWidth="1"/>
    <col min="2" max="2" width="19.5703125" style="3" customWidth="1"/>
    <col min="3" max="8" width="13" style="3" customWidth="1"/>
    <col min="9" max="9" width="18.5703125" style="3" customWidth="1"/>
    <col min="10" max="10" width="34" style="3" customWidth="1"/>
    <col min="11" max="26" width="13" style="3" customWidth="1"/>
    <col min="27" max="16384" width="12.5703125" style="3"/>
  </cols>
  <sheetData>
    <row r="1" spans="1:26" ht="16.5" customHeight="1" thickBot="1" x14ac:dyDescent="0.35">
      <c r="A1" s="84" t="s">
        <v>34</v>
      </c>
      <c r="B1" s="85"/>
      <c r="C1" s="85"/>
      <c r="D1" s="85"/>
      <c r="E1" s="85"/>
      <c r="F1" s="85"/>
      <c r="G1" s="85"/>
      <c r="H1" s="85"/>
      <c r="I1" s="85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thickBot="1" x14ac:dyDescent="0.35">
      <c r="A3" s="4" t="s">
        <v>33</v>
      </c>
      <c r="B3" s="75">
        <v>46076</v>
      </c>
      <c r="C3" s="76"/>
      <c r="D3" s="77"/>
      <c r="E3" s="5"/>
      <c r="F3" s="5"/>
      <c r="G3" s="5"/>
      <c r="H3" s="2"/>
      <c r="I3" s="2"/>
      <c r="J3" s="2"/>
      <c r="K3" s="2"/>
      <c r="L3" s="6" t="s">
        <v>32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thickBot="1" x14ac:dyDescent="0.35">
      <c r="A4" s="7"/>
      <c r="B4" s="7"/>
      <c r="C4" s="7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thickBot="1" x14ac:dyDescent="0.35">
      <c r="A5" s="71" t="s">
        <v>31</v>
      </c>
      <c r="B5" s="71" t="s">
        <v>30</v>
      </c>
      <c r="C5" s="71" t="s">
        <v>29</v>
      </c>
      <c r="D5" s="71" t="s">
        <v>28</v>
      </c>
      <c r="E5" s="69" t="s">
        <v>27</v>
      </c>
      <c r="F5" s="86"/>
      <c r="G5" s="71" t="s">
        <v>26</v>
      </c>
      <c r="H5" s="71" t="s">
        <v>25</v>
      </c>
      <c r="I5" s="71" t="s">
        <v>24</v>
      </c>
      <c r="J5" s="71" t="s">
        <v>23</v>
      </c>
      <c r="K5" s="2"/>
      <c r="L5" s="89" t="s">
        <v>22</v>
      </c>
      <c r="M5" s="71" t="s">
        <v>21</v>
      </c>
      <c r="N5" s="71" t="s">
        <v>20</v>
      </c>
      <c r="O5" s="71" t="s">
        <v>19</v>
      </c>
      <c r="P5" s="71" t="s">
        <v>18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thickBot="1" x14ac:dyDescent="0.35">
      <c r="A6" s="78"/>
      <c r="B6" s="78"/>
      <c r="C6" s="78"/>
      <c r="D6" s="78"/>
      <c r="E6" s="8" t="s">
        <v>17</v>
      </c>
      <c r="F6" s="8" t="s">
        <v>16</v>
      </c>
      <c r="G6" s="78"/>
      <c r="H6" s="78"/>
      <c r="I6" s="78"/>
      <c r="J6" s="78"/>
      <c r="K6" s="2"/>
      <c r="L6" s="90"/>
      <c r="M6" s="90"/>
      <c r="N6" s="90"/>
      <c r="O6" s="90"/>
      <c r="P6" s="90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3">
      <c r="A7" s="9" t="s">
        <v>35</v>
      </c>
      <c r="B7" s="10"/>
      <c r="C7" s="10"/>
      <c r="D7" s="10"/>
      <c r="E7" s="10"/>
      <c r="F7" s="10"/>
      <c r="G7" s="10"/>
      <c r="H7" s="10"/>
      <c r="I7" s="10"/>
      <c r="J7" s="11"/>
      <c r="K7" s="2"/>
      <c r="L7" s="12"/>
      <c r="M7" s="13"/>
      <c r="N7" s="13"/>
      <c r="O7" s="13"/>
      <c r="P7" s="13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">
      <c r="A8" s="14" t="s">
        <v>11</v>
      </c>
      <c r="B8" s="10">
        <v>606</v>
      </c>
      <c r="C8" s="10">
        <v>13</v>
      </c>
      <c r="D8" s="10">
        <v>67</v>
      </c>
      <c r="E8" s="10">
        <v>57</v>
      </c>
      <c r="F8" s="10">
        <v>123</v>
      </c>
      <c r="G8" s="15"/>
      <c r="H8" s="15"/>
      <c r="I8" s="10">
        <v>1235</v>
      </c>
      <c r="J8" s="11">
        <v>46395</v>
      </c>
      <c r="K8" s="2"/>
      <c r="L8" s="16">
        <v>0</v>
      </c>
      <c r="M8" s="16">
        <f t="shared" ref="M8:M13" si="0">(B8*8.52)+(C8*0.355)</f>
        <v>5167.7349999999997</v>
      </c>
      <c r="N8" s="16">
        <f t="shared" ref="N8:N14" si="1">(G8*8.52)+(H8*0.355)</f>
        <v>0</v>
      </c>
      <c r="O8" s="16">
        <f t="shared" ref="O8:O14" si="2">(D8*60)+(E8*20)+(F8*20)+L8</f>
        <v>7620</v>
      </c>
      <c r="P8" s="17">
        <f>M8+N8+O8</f>
        <v>12787.735000000001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14" t="s">
        <v>12</v>
      </c>
      <c r="B9" s="10">
        <v>164</v>
      </c>
      <c r="C9" s="10">
        <v>13</v>
      </c>
      <c r="D9" s="10">
        <v>23</v>
      </c>
      <c r="E9" s="10">
        <v>0</v>
      </c>
      <c r="F9" s="10">
        <v>1</v>
      </c>
      <c r="G9" s="15"/>
      <c r="H9" s="15"/>
      <c r="I9" s="10">
        <v>1230</v>
      </c>
      <c r="J9" s="11">
        <v>46402</v>
      </c>
      <c r="K9" s="2"/>
      <c r="L9" s="16">
        <v>0</v>
      </c>
      <c r="M9" s="16">
        <f t="shared" si="0"/>
        <v>1401.895</v>
      </c>
      <c r="N9" s="16">
        <f t="shared" si="1"/>
        <v>0</v>
      </c>
      <c r="O9" s="16">
        <f t="shared" si="2"/>
        <v>1400</v>
      </c>
      <c r="P9" s="17">
        <f t="shared" ref="P9:P13" si="3">M9+N9+O9</f>
        <v>2801.895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">
      <c r="A10" s="14" t="s">
        <v>13</v>
      </c>
      <c r="B10" s="10">
        <v>145</v>
      </c>
      <c r="C10" s="10">
        <v>0</v>
      </c>
      <c r="D10" s="10">
        <v>31</v>
      </c>
      <c r="E10" s="10">
        <v>0</v>
      </c>
      <c r="F10" s="10">
        <v>0</v>
      </c>
      <c r="G10" s="15"/>
      <c r="H10" s="15"/>
      <c r="I10" s="10">
        <v>1231</v>
      </c>
      <c r="J10" s="11">
        <v>46396</v>
      </c>
      <c r="K10" s="2"/>
      <c r="L10" s="16">
        <v>0</v>
      </c>
      <c r="M10" s="16">
        <f t="shared" si="0"/>
        <v>1235.3999999999999</v>
      </c>
      <c r="N10" s="16">
        <f t="shared" si="1"/>
        <v>0</v>
      </c>
      <c r="O10" s="16">
        <f t="shared" si="2"/>
        <v>1860</v>
      </c>
      <c r="P10" s="17">
        <f t="shared" si="3"/>
        <v>3095.3999999999996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">
      <c r="A11" s="14" t="s">
        <v>15</v>
      </c>
      <c r="B11" s="10">
        <v>7</v>
      </c>
      <c r="C11" s="10">
        <v>19</v>
      </c>
      <c r="D11" s="10">
        <v>23</v>
      </c>
      <c r="E11" s="10">
        <v>0</v>
      </c>
      <c r="F11" s="10">
        <v>20</v>
      </c>
      <c r="G11" s="15"/>
      <c r="H11" s="15"/>
      <c r="I11" s="10">
        <v>1229</v>
      </c>
      <c r="J11" s="11">
        <v>46395</v>
      </c>
      <c r="K11" s="2"/>
      <c r="L11" s="16">
        <v>0</v>
      </c>
      <c r="M11" s="16">
        <f t="shared" si="0"/>
        <v>66.385000000000005</v>
      </c>
      <c r="N11" s="16">
        <f t="shared" si="1"/>
        <v>0</v>
      </c>
      <c r="O11" s="16">
        <f t="shared" si="2"/>
        <v>1780</v>
      </c>
      <c r="P11" s="17">
        <f t="shared" si="3"/>
        <v>1846.385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4" t="s">
        <v>14</v>
      </c>
      <c r="B12" s="10">
        <v>155</v>
      </c>
      <c r="C12" s="10">
        <v>0</v>
      </c>
      <c r="D12" s="10">
        <v>12</v>
      </c>
      <c r="E12" s="10">
        <v>9</v>
      </c>
      <c r="F12" s="10">
        <v>2</v>
      </c>
      <c r="G12" s="15"/>
      <c r="H12" s="15"/>
      <c r="I12" s="10">
        <v>1236</v>
      </c>
      <c r="J12" s="11">
        <v>46403</v>
      </c>
      <c r="K12" s="2"/>
      <c r="L12" s="16">
        <v>0</v>
      </c>
      <c r="M12" s="16">
        <f t="shared" si="0"/>
        <v>1320.6</v>
      </c>
      <c r="N12" s="16">
        <f t="shared" si="1"/>
        <v>0</v>
      </c>
      <c r="O12" s="16">
        <f t="shared" si="2"/>
        <v>940</v>
      </c>
      <c r="P12" s="17">
        <f t="shared" si="3"/>
        <v>2260.6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">
      <c r="A13" s="14" t="s">
        <v>10</v>
      </c>
      <c r="B13" s="10">
        <v>2</v>
      </c>
      <c r="C13" s="10">
        <v>0</v>
      </c>
      <c r="D13" s="10">
        <v>17</v>
      </c>
      <c r="E13" s="10">
        <v>8</v>
      </c>
      <c r="F13" s="10">
        <v>0</v>
      </c>
      <c r="G13" s="15"/>
      <c r="H13" s="15"/>
      <c r="I13" s="10">
        <v>1235</v>
      </c>
      <c r="J13" s="11">
        <v>46395</v>
      </c>
      <c r="K13" s="2"/>
      <c r="L13" s="16">
        <v>0</v>
      </c>
      <c r="M13" s="16">
        <f t="shared" si="0"/>
        <v>17.04</v>
      </c>
      <c r="N13" s="16">
        <f t="shared" si="1"/>
        <v>0</v>
      </c>
      <c r="O13" s="16">
        <f t="shared" si="2"/>
        <v>1180</v>
      </c>
      <c r="P13" s="17">
        <f t="shared" si="3"/>
        <v>1197.04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3">
      <c r="A14" s="14" t="s">
        <v>36</v>
      </c>
      <c r="B14" s="18">
        <v>0</v>
      </c>
      <c r="C14" s="19"/>
      <c r="D14" s="19"/>
      <c r="E14" s="19"/>
      <c r="F14" s="19"/>
      <c r="G14" s="19"/>
      <c r="H14" s="19"/>
      <c r="I14" s="18"/>
      <c r="J14" s="20"/>
      <c r="K14" s="2"/>
      <c r="L14" s="16">
        <v>0</v>
      </c>
      <c r="M14" s="16">
        <f>(B14*4.27)+(C14*0.355)</f>
        <v>0</v>
      </c>
      <c r="N14" s="16">
        <f t="shared" si="1"/>
        <v>0</v>
      </c>
      <c r="O14" s="16">
        <f t="shared" si="2"/>
        <v>0</v>
      </c>
      <c r="P14" s="17">
        <f>M14+N14+O14</f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14"/>
      <c r="B15" s="10"/>
      <c r="C15" s="10"/>
      <c r="D15" s="10"/>
      <c r="E15" s="10"/>
      <c r="F15" s="10"/>
      <c r="G15" s="18"/>
      <c r="H15" s="18"/>
      <c r="I15" s="10"/>
      <c r="J15" s="11"/>
      <c r="K15" s="2"/>
      <c r="L15" s="16"/>
      <c r="M15" s="16"/>
      <c r="N15" s="16"/>
      <c r="O15" s="16"/>
      <c r="P15" s="1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3">
      <c r="A16" s="21" t="s">
        <v>37</v>
      </c>
      <c r="B16" s="10"/>
      <c r="C16" s="10"/>
      <c r="D16" s="10"/>
      <c r="E16" s="10"/>
      <c r="F16" s="10"/>
      <c r="G16" s="10"/>
      <c r="H16" s="10"/>
      <c r="I16" s="10"/>
      <c r="J16" s="11"/>
      <c r="K16" s="2"/>
      <c r="L16" s="16"/>
      <c r="M16" s="16"/>
      <c r="N16" s="16"/>
      <c r="O16" s="16"/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">
      <c r="A17" s="14" t="s">
        <v>38</v>
      </c>
      <c r="B17" s="36"/>
      <c r="C17" s="36"/>
      <c r="D17" s="15"/>
      <c r="E17" s="15"/>
      <c r="F17" s="15"/>
      <c r="G17" s="22">
        <v>8</v>
      </c>
      <c r="H17" s="23">
        <v>19</v>
      </c>
      <c r="I17" s="10">
        <v>1191</v>
      </c>
      <c r="J17" s="11">
        <v>46247</v>
      </c>
      <c r="K17" s="2"/>
      <c r="L17" s="16">
        <v>0</v>
      </c>
      <c r="M17" s="16">
        <f t="shared" ref="M17:M20" si="4">(B17*8.52)+(C17*0.355)</f>
        <v>0</v>
      </c>
      <c r="N17" s="16">
        <f t="shared" ref="N17:N20" si="5">(G17*8.52)+(H17*0.355)</f>
        <v>74.905000000000001</v>
      </c>
      <c r="O17" s="16">
        <f t="shared" ref="O17:O20" si="6">(D17*60)+(E17*20)+(F17*20)+L17</f>
        <v>0</v>
      </c>
      <c r="P17" s="17">
        <f>M17+N17+O17</f>
        <v>74.905000000000001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">
      <c r="A18" s="14" t="s">
        <v>53</v>
      </c>
      <c r="B18" s="36"/>
      <c r="C18" s="36"/>
      <c r="D18" s="24">
        <v>11</v>
      </c>
      <c r="E18" s="24">
        <v>2</v>
      </c>
      <c r="F18" s="24">
        <v>8</v>
      </c>
      <c r="G18" s="15"/>
      <c r="H18" s="15"/>
      <c r="I18" s="35">
        <v>1242</v>
      </c>
      <c r="J18" s="11">
        <v>46421</v>
      </c>
      <c r="K18" s="2"/>
      <c r="L18" s="16">
        <v>1</v>
      </c>
      <c r="M18" s="16">
        <f t="shared" si="4"/>
        <v>0</v>
      </c>
      <c r="N18" s="16">
        <f t="shared" si="5"/>
        <v>0</v>
      </c>
      <c r="O18" s="16">
        <f t="shared" si="6"/>
        <v>861</v>
      </c>
      <c r="P18" s="17">
        <f>M18+N18+O18</f>
        <v>861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">
      <c r="A19" s="14" t="s">
        <v>55</v>
      </c>
      <c r="B19" s="36"/>
      <c r="C19" s="36"/>
      <c r="D19" s="24">
        <v>7</v>
      </c>
      <c r="E19" s="24">
        <v>10</v>
      </c>
      <c r="F19" s="24">
        <v>12</v>
      </c>
      <c r="G19" s="15"/>
      <c r="H19" s="15"/>
      <c r="I19" s="35">
        <v>1234</v>
      </c>
      <c r="J19" s="11"/>
      <c r="K19" s="2"/>
      <c r="L19" s="16">
        <v>2</v>
      </c>
      <c r="M19" s="16">
        <f t="shared" si="4"/>
        <v>0</v>
      </c>
      <c r="N19" s="16">
        <f t="shared" si="5"/>
        <v>0</v>
      </c>
      <c r="O19" s="16">
        <f t="shared" si="6"/>
        <v>862</v>
      </c>
      <c r="P19" s="17">
        <f>M19+N19+O19</f>
        <v>862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3">
      <c r="A20" s="14" t="s">
        <v>54</v>
      </c>
      <c r="B20" s="36"/>
      <c r="C20" s="36"/>
      <c r="D20" s="24">
        <v>7</v>
      </c>
      <c r="E20" s="24">
        <v>0</v>
      </c>
      <c r="F20" s="24">
        <v>3</v>
      </c>
      <c r="G20" s="15"/>
      <c r="H20" s="15"/>
      <c r="I20" s="35">
        <v>1238</v>
      </c>
      <c r="J20" s="11">
        <v>46397</v>
      </c>
      <c r="K20" s="2"/>
      <c r="L20" s="16">
        <v>3</v>
      </c>
      <c r="M20" s="16">
        <f t="shared" si="4"/>
        <v>0</v>
      </c>
      <c r="N20" s="16">
        <f t="shared" si="5"/>
        <v>0</v>
      </c>
      <c r="O20" s="16">
        <f t="shared" si="6"/>
        <v>483</v>
      </c>
      <c r="P20" s="17">
        <f>M20+N20+O20</f>
        <v>483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3">
      <c r="A21" s="14"/>
      <c r="B21" s="10"/>
      <c r="C21" s="10"/>
      <c r="D21" s="10"/>
      <c r="E21" s="10"/>
      <c r="F21" s="10"/>
      <c r="G21" s="18"/>
      <c r="H21" s="18"/>
      <c r="I21" s="10"/>
      <c r="J21" s="11"/>
      <c r="K21" s="2"/>
      <c r="L21" s="16"/>
      <c r="M21" s="16"/>
      <c r="N21" s="16"/>
      <c r="O21" s="16"/>
      <c r="P21" s="1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">
      <c r="A22" s="21" t="s">
        <v>39</v>
      </c>
      <c r="B22" s="18"/>
      <c r="C22" s="18"/>
      <c r="D22" s="18"/>
      <c r="E22" s="18"/>
      <c r="F22" s="18"/>
      <c r="G22" s="18"/>
      <c r="H22" s="18"/>
      <c r="I22" s="18"/>
      <c r="J22" s="20"/>
      <c r="K22" s="2"/>
      <c r="L22" s="16"/>
      <c r="M22" s="16"/>
      <c r="N22" s="16"/>
      <c r="O22" s="16"/>
      <c r="P22" s="1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3">
      <c r="A23" s="14" t="s">
        <v>9</v>
      </c>
      <c r="B23" s="10">
        <v>26</v>
      </c>
      <c r="C23" s="24">
        <v>3</v>
      </c>
      <c r="D23" s="15"/>
      <c r="E23" s="15"/>
      <c r="F23" s="15"/>
      <c r="G23" s="15"/>
      <c r="H23" s="15"/>
      <c r="I23" s="10">
        <v>1115</v>
      </c>
      <c r="J23" s="11">
        <v>46066</v>
      </c>
      <c r="K23" s="2"/>
      <c r="L23" s="16">
        <v>0</v>
      </c>
      <c r="M23" s="16">
        <f t="shared" ref="M23:M33" si="7">(B23*8.52)+(C23*0.355)</f>
        <v>222.58499999999998</v>
      </c>
      <c r="N23" s="16">
        <f t="shared" ref="N23:N33" si="8">(G23*8.52)+(H23*0.355)</f>
        <v>0</v>
      </c>
      <c r="O23" s="16">
        <f t="shared" ref="O23:O33" si="9">(D23*60)+(E23*20)+(F23*20)+L23</f>
        <v>0</v>
      </c>
      <c r="P23" s="17">
        <f t="shared" ref="P23:P33" si="10">M23+N23+O23</f>
        <v>222.58499999999998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3">
      <c r="A24" s="14" t="s">
        <v>8</v>
      </c>
      <c r="B24" s="10">
        <v>21</v>
      </c>
      <c r="C24" s="15"/>
      <c r="D24" s="15"/>
      <c r="E24" s="15"/>
      <c r="F24" s="15"/>
      <c r="G24" s="15"/>
      <c r="H24" s="15"/>
      <c r="I24" s="10">
        <v>1104</v>
      </c>
      <c r="J24" s="11">
        <v>45938</v>
      </c>
      <c r="K24" s="2"/>
      <c r="L24" s="16">
        <v>0</v>
      </c>
      <c r="M24" s="16">
        <f t="shared" si="7"/>
        <v>178.92</v>
      </c>
      <c r="N24" s="16">
        <f t="shared" si="8"/>
        <v>0</v>
      </c>
      <c r="O24" s="16">
        <f t="shared" si="9"/>
        <v>0</v>
      </c>
      <c r="P24" s="17">
        <f t="shared" si="10"/>
        <v>178.92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">
      <c r="A25" s="14" t="s">
        <v>40</v>
      </c>
      <c r="B25" s="10">
        <v>11</v>
      </c>
      <c r="C25" s="18">
        <v>11</v>
      </c>
      <c r="D25" s="15"/>
      <c r="E25" s="15"/>
      <c r="F25" s="15"/>
      <c r="G25" s="15"/>
      <c r="H25" s="15"/>
      <c r="I25" s="10">
        <v>1144</v>
      </c>
      <c r="J25" s="11">
        <v>46114</v>
      </c>
      <c r="K25" s="2"/>
      <c r="L25" s="16">
        <v>0</v>
      </c>
      <c r="M25" s="16">
        <f t="shared" si="7"/>
        <v>97.625</v>
      </c>
      <c r="N25" s="16">
        <f t="shared" si="8"/>
        <v>0</v>
      </c>
      <c r="O25" s="16">
        <f t="shared" si="9"/>
        <v>0</v>
      </c>
      <c r="P25" s="17">
        <f t="shared" si="10"/>
        <v>97.625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14" t="s">
        <v>41</v>
      </c>
      <c r="B26" s="10">
        <v>8</v>
      </c>
      <c r="C26" s="18">
        <v>22</v>
      </c>
      <c r="D26" s="15"/>
      <c r="E26" s="15"/>
      <c r="F26" s="15"/>
      <c r="G26" s="15"/>
      <c r="H26" s="15"/>
      <c r="I26" s="10">
        <v>1168</v>
      </c>
      <c r="J26" s="11">
        <v>46118</v>
      </c>
      <c r="K26" s="2"/>
      <c r="L26" s="16">
        <v>0</v>
      </c>
      <c r="M26" s="16">
        <f t="shared" si="7"/>
        <v>75.97</v>
      </c>
      <c r="N26" s="16">
        <f t="shared" si="8"/>
        <v>0</v>
      </c>
      <c r="O26" s="16">
        <f t="shared" si="9"/>
        <v>0</v>
      </c>
      <c r="P26" s="17">
        <f t="shared" si="10"/>
        <v>75.97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3">
      <c r="A27" s="14" t="s">
        <v>56</v>
      </c>
      <c r="B27" s="10">
        <v>40</v>
      </c>
      <c r="C27" s="15"/>
      <c r="D27" s="15"/>
      <c r="E27" s="15"/>
      <c r="F27" s="15"/>
      <c r="G27" s="15"/>
      <c r="H27" s="15"/>
      <c r="I27" s="10">
        <v>1180</v>
      </c>
      <c r="J27" s="11">
        <v>46156</v>
      </c>
      <c r="K27" s="2"/>
      <c r="L27" s="16">
        <v>0</v>
      </c>
      <c r="M27" s="16">
        <f t="shared" si="7"/>
        <v>340.79999999999995</v>
      </c>
      <c r="N27" s="16">
        <f t="shared" si="8"/>
        <v>0</v>
      </c>
      <c r="O27" s="16">
        <f t="shared" si="9"/>
        <v>0</v>
      </c>
      <c r="P27" s="17">
        <f t="shared" si="10"/>
        <v>340.79999999999995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3">
      <c r="A28" s="14" t="s">
        <v>43</v>
      </c>
      <c r="B28" s="10">
        <v>0</v>
      </c>
      <c r="C28" s="15"/>
      <c r="D28" s="15"/>
      <c r="E28" s="15"/>
      <c r="F28" s="15"/>
      <c r="G28" s="15"/>
      <c r="H28" s="15"/>
      <c r="I28" s="10">
        <v>1152</v>
      </c>
      <c r="J28" s="11">
        <v>46135</v>
      </c>
      <c r="K28" s="2"/>
      <c r="L28" s="16"/>
      <c r="M28" s="16">
        <f t="shared" si="7"/>
        <v>0</v>
      </c>
      <c r="N28" s="16">
        <f t="shared" si="8"/>
        <v>0</v>
      </c>
      <c r="O28" s="16">
        <f t="shared" si="9"/>
        <v>0</v>
      </c>
      <c r="P28" s="17">
        <f t="shared" si="10"/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3">
      <c r="A29" s="14" t="s">
        <v>44</v>
      </c>
      <c r="B29" s="10">
        <v>0</v>
      </c>
      <c r="C29" s="15"/>
      <c r="D29" s="15"/>
      <c r="E29" s="15"/>
      <c r="F29" s="15"/>
      <c r="G29" s="15"/>
      <c r="H29" s="15"/>
      <c r="I29" s="10">
        <v>1144</v>
      </c>
      <c r="J29" s="11">
        <v>46088</v>
      </c>
      <c r="K29" s="2"/>
      <c r="L29" s="16">
        <v>0</v>
      </c>
      <c r="M29" s="16">
        <f t="shared" si="7"/>
        <v>0</v>
      </c>
      <c r="N29" s="16">
        <f t="shared" si="8"/>
        <v>0</v>
      </c>
      <c r="O29" s="16">
        <f t="shared" si="9"/>
        <v>0</v>
      </c>
      <c r="P29" s="17">
        <f t="shared" si="10"/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3">
      <c r="A30" s="14" t="s">
        <v>45</v>
      </c>
      <c r="B30" s="10">
        <v>14</v>
      </c>
      <c r="C30" s="15"/>
      <c r="D30" s="15"/>
      <c r="E30" s="15"/>
      <c r="F30" s="15"/>
      <c r="G30" s="15"/>
      <c r="H30" s="15"/>
      <c r="I30" s="10">
        <v>1150</v>
      </c>
      <c r="J30" s="11">
        <v>46129</v>
      </c>
      <c r="K30" s="2"/>
      <c r="L30" s="16">
        <v>0</v>
      </c>
      <c r="M30" s="16">
        <f t="shared" si="7"/>
        <v>119.28</v>
      </c>
      <c r="N30" s="16">
        <f t="shared" si="8"/>
        <v>0</v>
      </c>
      <c r="O30" s="16">
        <f t="shared" si="9"/>
        <v>0</v>
      </c>
      <c r="P30" s="17">
        <f t="shared" si="10"/>
        <v>119.28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3">
      <c r="A31" s="14" t="s">
        <v>52</v>
      </c>
      <c r="B31" s="10">
        <v>82</v>
      </c>
      <c r="C31" s="15"/>
      <c r="D31" s="15"/>
      <c r="E31" s="15"/>
      <c r="F31" s="15"/>
      <c r="G31" s="15"/>
      <c r="H31" s="15"/>
      <c r="I31" s="10">
        <v>1230</v>
      </c>
      <c r="J31" s="11">
        <v>46402</v>
      </c>
      <c r="K31" s="2"/>
      <c r="L31" s="16"/>
      <c r="M31" s="16">
        <f t="shared" si="7"/>
        <v>698.64</v>
      </c>
      <c r="N31" s="16"/>
      <c r="O31" s="16"/>
      <c r="P31" s="1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">
      <c r="A32" s="14" t="s">
        <v>46</v>
      </c>
      <c r="B32" s="10">
        <v>0</v>
      </c>
      <c r="C32" s="15"/>
      <c r="D32" s="15"/>
      <c r="E32" s="15"/>
      <c r="F32" s="15"/>
      <c r="G32" s="15"/>
      <c r="H32" s="15"/>
      <c r="I32" s="10">
        <v>1222</v>
      </c>
      <c r="J32" s="11">
        <v>46354</v>
      </c>
      <c r="K32" s="2"/>
      <c r="L32" s="16">
        <v>0</v>
      </c>
      <c r="M32" s="16">
        <f t="shared" si="7"/>
        <v>0</v>
      </c>
      <c r="N32" s="16">
        <f t="shared" si="8"/>
        <v>0</v>
      </c>
      <c r="O32" s="16">
        <f t="shared" si="9"/>
        <v>0</v>
      </c>
      <c r="P32" s="17">
        <f t="shared" si="10"/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">
      <c r="A33" s="14" t="s">
        <v>47</v>
      </c>
      <c r="B33" s="15"/>
      <c r="C33" s="15"/>
      <c r="D33" s="15"/>
      <c r="E33" s="15"/>
      <c r="F33" s="15"/>
      <c r="G33" s="10">
        <v>39</v>
      </c>
      <c r="H33" s="10">
        <v>11</v>
      </c>
      <c r="I33" s="10" t="s">
        <v>48</v>
      </c>
      <c r="J33" s="11">
        <v>46268</v>
      </c>
      <c r="K33" s="2"/>
      <c r="L33" s="16"/>
      <c r="M33" s="16">
        <f t="shared" si="7"/>
        <v>0</v>
      </c>
      <c r="N33" s="16">
        <f t="shared" si="8"/>
        <v>336.18499999999995</v>
      </c>
      <c r="O33" s="16">
        <f t="shared" si="9"/>
        <v>0</v>
      </c>
      <c r="P33" s="25">
        <f t="shared" si="10"/>
        <v>336.18499999999995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3">
      <c r="A34" s="7"/>
      <c r="B34" s="5"/>
      <c r="C34" s="5"/>
      <c r="D34" s="5"/>
      <c r="E34" s="5"/>
      <c r="F34" s="5"/>
      <c r="G34" s="5"/>
      <c r="H34" s="5"/>
      <c r="I34" s="5"/>
      <c r="J34" s="26"/>
      <c r="K34" s="2"/>
      <c r="L34" s="27">
        <f>SUM(L8:L17)</f>
        <v>0</v>
      </c>
      <c r="M34" s="27">
        <f>SUM(M8:M17)</f>
        <v>9209.0550000000003</v>
      </c>
      <c r="N34" s="27">
        <f>SUM(N8:N17)</f>
        <v>74.905000000000001</v>
      </c>
      <c r="O34" s="27">
        <f>SUM(O8:O17)</f>
        <v>14780</v>
      </c>
      <c r="P34" s="27">
        <f>SUM(P8:P33)</f>
        <v>27641.324999999993</v>
      </c>
      <c r="Q34" s="1"/>
      <c r="R34" s="28"/>
      <c r="S34" s="2"/>
      <c r="T34" s="2"/>
      <c r="U34" s="2"/>
      <c r="V34" s="2"/>
      <c r="W34" s="2"/>
      <c r="X34" s="2"/>
      <c r="Y34" s="2"/>
      <c r="Z34" s="2"/>
    </row>
    <row r="35" spans="1:26" ht="15" customHeight="1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1" t="s">
        <v>7</v>
      </c>
      <c r="M36" s="85"/>
      <c r="N36" s="85"/>
      <c r="O36" s="85"/>
      <c r="P36" s="8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2">
        <f>P34-'03 FEB'!P33</f>
        <v>-3982.0700000000033</v>
      </c>
      <c r="M37" s="93"/>
      <c r="N37" s="93"/>
      <c r="O37" s="93"/>
      <c r="P37" s="94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5">
      <c r="A38" s="28"/>
      <c r="B38" s="29"/>
      <c r="C38" s="29"/>
      <c r="D38" s="29"/>
      <c r="E38" s="2"/>
      <c r="F38" s="2"/>
      <c r="G38" s="29"/>
      <c r="H38" s="29"/>
      <c r="I38" s="29"/>
      <c r="J38" s="2"/>
      <c r="K38" s="2"/>
      <c r="L38" s="95"/>
      <c r="M38" s="85"/>
      <c r="N38" s="85"/>
      <c r="O38" s="85"/>
      <c r="P38" s="8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40.5" customHeight="1" x14ac:dyDescent="0.3">
      <c r="A39" s="2"/>
      <c r="B39" s="96" t="s">
        <v>1</v>
      </c>
      <c r="C39" s="88"/>
      <c r="D39" s="88"/>
      <c r="E39" s="2"/>
      <c r="F39" s="2"/>
      <c r="G39" s="97" t="s">
        <v>49</v>
      </c>
      <c r="H39" s="88"/>
      <c r="I39" s="88"/>
      <c r="J39" s="30"/>
      <c r="K39" s="2"/>
      <c r="L39" s="31" t="s">
        <v>6</v>
      </c>
      <c r="M39" s="31" t="s">
        <v>5</v>
      </c>
      <c r="N39" s="31" t="s">
        <v>4</v>
      </c>
      <c r="O39" s="31" t="s">
        <v>3</v>
      </c>
      <c r="P39" s="31" t="s">
        <v>2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thickBot="1" x14ac:dyDescent="0.35">
      <c r="A40" s="2"/>
      <c r="B40" s="87" t="s">
        <v>0</v>
      </c>
      <c r="C40" s="88"/>
      <c r="D40" s="88"/>
      <c r="E40" s="2"/>
      <c r="F40" s="2"/>
      <c r="G40" s="87" t="s">
        <v>50</v>
      </c>
      <c r="H40" s="88"/>
      <c r="I40" s="88"/>
      <c r="J40" s="2"/>
      <c r="K40" s="2"/>
      <c r="L40" s="32">
        <f>SUM(B8:B17)+SUM(C8:C17)/24</f>
        <v>1080.875</v>
      </c>
      <c r="M40" s="33">
        <f>SUM(D8:D17)</f>
        <v>173</v>
      </c>
      <c r="N40" s="33">
        <f>SUM(E8:E17)</f>
        <v>74</v>
      </c>
      <c r="O40" s="33">
        <f>SUM(F8:F17)</f>
        <v>146</v>
      </c>
      <c r="P40" s="34">
        <f>SUM(G8:G17)+SUM(H8:H17)/24</f>
        <v>8.7916666666666661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3">
    <mergeCell ref="B40:D40"/>
    <mergeCell ref="G40:I40"/>
    <mergeCell ref="J5:J6"/>
    <mergeCell ref="L5:L6"/>
    <mergeCell ref="M5:M6"/>
    <mergeCell ref="L36:P36"/>
    <mergeCell ref="L37:P37"/>
    <mergeCell ref="L38:P38"/>
    <mergeCell ref="B39:D39"/>
    <mergeCell ref="G39:I39"/>
    <mergeCell ref="N5:N6"/>
    <mergeCell ref="O5:O6"/>
    <mergeCell ref="P5:P6"/>
    <mergeCell ref="A1:J1"/>
    <mergeCell ref="B3:D3"/>
    <mergeCell ref="A5:A6"/>
    <mergeCell ref="B5:B6"/>
    <mergeCell ref="C5:C6"/>
    <mergeCell ref="D5:D6"/>
    <mergeCell ref="E5:F5"/>
    <mergeCell ref="G5:G6"/>
    <mergeCell ref="H5:H6"/>
    <mergeCell ref="I5:I6"/>
  </mergeCells>
  <pageMargins left="0.7" right="0.7" top="0.75" bottom="0.75" header="0" footer="0"/>
  <pageSetup paperSize="9" scale="86" orientation="landscape" r:id="rId1"/>
  <rowBreaks count="1" manualBreakCount="1">
    <brk id="33" max="16383" man="1"/>
  </rowBreaks>
  <colBreaks count="2" manualBreakCount="2">
    <brk id="8" max="1048575" man="1"/>
    <brk id="1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53C2-B7C5-4C36-BAEA-4E61041D52E1}">
  <dimension ref="A1:Z1003"/>
  <sheetViews>
    <sheetView topLeftCell="A3" zoomScaleNormal="100" workbookViewId="0">
      <selection activeCell="C9" sqref="C9"/>
    </sheetView>
  </sheetViews>
  <sheetFormatPr baseColWidth="10" defaultColWidth="12.5703125" defaultRowHeight="15" customHeight="1" x14ac:dyDescent="0.25"/>
  <cols>
    <col min="1" max="1" width="42.28515625" style="3" customWidth="1"/>
    <col min="2" max="2" width="19.5703125" style="3" customWidth="1"/>
    <col min="3" max="8" width="13" style="3" customWidth="1"/>
    <col min="9" max="9" width="18.5703125" style="3" customWidth="1"/>
    <col min="10" max="10" width="34" style="3" customWidth="1"/>
    <col min="11" max="26" width="13" style="3" customWidth="1"/>
    <col min="27" max="16384" width="12.5703125" style="3"/>
  </cols>
  <sheetData>
    <row r="1" spans="1:26" ht="16.5" customHeight="1" thickBot="1" x14ac:dyDescent="0.35">
      <c r="A1" s="84" t="s">
        <v>34</v>
      </c>
      <c r="B1" s="85"/>
      <c r="C1" s="85"/>
      <c r="D1" s="85"/>
      <c r="E1" s="85"/>
      <c r="F1" s="85"/>
      <c r="G1" s="85"/>
      <c r="H1" s="85"/>
      <c r="I1" s="85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thickBot="1" x14ac:dyDescent="0.35">
      <c r="A3" s="4" t="s">
        <v>33</v>
      </c>
      <c r="B3" s="75">
        <v>46062</v>
      </c>
      <c r="C3" s="76"/>
      <c r="D3" s="77"/>
      <c r="E3" s="5"/>
      <c r="F3" s="5"/>
      <c r="G3" s="5"/>
      <c r="H3" s="2"/>
      <c r="I3" s="2"/>
      <c r="J3" s="2"/>
      <c r="K3" s="2"/>
      <c r="L3" s="6" t="s">
        <v>32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thickBot="1" x14ac:dyDescent="0.35">
      <c r="A4" s="7"/>
      <c r="B4" s="7"/>
      <c r="C4" s="7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thickBot="1" x14ac:dyDescent="0.35">
      <c r="A5" s="71" t="s">
        <v>31</v>
      </c>
      <c r="B5" s="71" t="s">
        <v>30</v>
      </c>
      <c r="C5" s="71" t="s">
        <v>29</v>
      </c>
      <c r="D5" s="71" t="s">
        <v>28</v>
      </c>
      <c r="E5" s="69" t="s">
        <v>27</v>
      </c>
      <c r="F5" s="86"/>
      <c r="G5" s="71" t="s">
        <v>26</v>
      </c>
      <c r="H5" s="71" t="s">
        <v>25</v>
      </c>
      <c r="I5" s="71" t="s">
        <v>24</v>
      </c>
      <c r="J5" s="71" t="s">
        <v>23</v>
      </c>
      <c r="K5" s="2"/>
      <c r="L5" s="89" t="s">
        <v>22</v>
      </c>
      <c r="M5" s="71" t="s">
        <v>21</v>
      </c>
      <c r="N5" s="71" t="s">
        <v>20</v>
      </c>
      <c r="O5" s="71" t="s">
        <v>19</v>
      </c>
      <c r="P5" s="71" t="s">
        <v>18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thickBot="1" x14ac:dyDescent="0.35">
      <c r="A6" s="78"/>
      <c r="B6" s="78"/>
      <c r="C6" s="78"/>
      <c r="D6" s="78"/>
      <c r="E6" s="8" t="s">
        <v>17</v>
      </c>
      <c r="F6" s="8" t="s">
        <v>16</v>
      </c>
      <c r="G6" s="78"/>
      <c r="H6" s="78"/>
      <c r="I6" s="78"/>
      <c r="J6" s="78"/>
      <c r="K6" s="2"/>
      <c r="L6" s="90"/>
      <c r="M6" s="90"/>
      <c r="N6" s="90"/>
      <c r="O6" s="90"/>
      <c r="P6" s="90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3">
      <c r="A7" s="9" t="s">
        <v>35</v>
      </c>
      <c r="B7" s="10"/>
      <c r="C7" s="10"/>
      <c r="D7" s="10"/>
      <c r="E7" s="10"/>
      <c r="F7" s="10"/>
      <c r="G7" s="10"/>
      <c r="H7" s="10"/>
      <c r="I7" s="10"/>
      <c r="J7" s="11"/>
      <c r="K7" s="2"/>
      <c r="L7" s="12"/>
      <c r="M7" s="13"/>
      <c r="N7" s="13"/>
      <c r="O7" s="13"/>
      <c r="P7" s="13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">
      <c r="A8" s="14" t="s">
        <v>11</v>
      </c>
      <c r="B8" s="10">
        <v>389</v>
      </c>
      <c r="C8" s="10">
        <v>21</v>
      </c>
      <c r="D8" s="10">
        <v>48</v>
      </c>
      <c r="E8" s="10">
        <v>16</v>
      </c>
      <c r="F8" s="10">
        <v>31</v>
      </c>
      <c r="G8" s="15"/>
      <c r="H8" s="15"/>
      <c r="I8" s="10">
        <v>1235</v>
      </c>
      <c r="J8" s="11">
        <v>46395</v>
      </c>
      <c r="K8" s="2"/>
      <c r="L8" s="16">
        <v>0</v>
      </c>
      <c r="M8" s="16">
        <f t="shared" ref="M8:M13" si="0">(B8*8.52)+(C8*0.355)</f>
        <v>3321.7349999999997</v>
      </c>
      <c r="N8" s="16">
        <f t="shared" ref="N8:N14" si="1">(G8*8.52)+(H8*0.355)</f>
        <v>0</v>
      </c>
      <c r="O8" s="16">
        <f t="shared" ref="O8:O14" si="2">(D8*60)+(E8*20)+(F8*20)+L8</f>
        <v>3820</v>
      </c>
      <c r="P8" s="17">
        <f>M8+N8+O8</f>
        <v>7141.7349999999997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14" t="s">
        <v>12</v>
      </c>
      <c r="B9" s="10">
        <v>251</v>
      </c>
      <c r="C9" s="10">
        <v>0</v>
      </c>
      <c r="D9" s="10">
        <v>31</v>
      </c>
      <c r="E9" s="10">
        <v>0</v>
      </c>
      <c r="F9" s="10">
        <v>23</v>
      </c>
      <c r="G9" s="15"/>
      <c r="H9" s="15"/>
      <c r="I9" s="10">
        <v>1230</v>
      </c>
      <c r="J9" s="11">
        <v>46402</v>
      </c>
      <c r="K9" s="2"/>
      <c r="L9" s="16">
        <v>0</v>
      </c>
      <c r="M9" s="16">
        <f t="shared" si="0"/>
        <v>2138.52</v>
      </c>
      <c r="N9" s="16">
        <f t="shared" si="1"/>
        <v>0</v>
      </c>
      <c r="O9" s="16">
        <f t="shared" si="2"/>
        <v>2320</v>
      </c>
      <c r="P9" s="17">
        <f t="shared" ref="P9:P13" si="3">M9+N9+O9</f>
        <v>4458.5200000000004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">
      <c r="A10" s="14" t="s">
        <v>13</v>
      </c>
      <c r="B10" s="10">
        <v>166</v>
      </c>
      <c r="C10" s="10">
        <v>22</v>
      </c>
      <c r="D10" s="10">
        <v>32</v>
      </c>
      <c r="E10" s="10">
        <v>0</v>
      </c>
      <c r="F10" s="10">
        <v>11</v>
      </c>
      <c r="G10" s="15"/>
      <c r="H10" s="15"/>
      <c r="I10" s="10">
        <v>1231</v>
      </c>
      <c r="J10" s="11">
        <v>46396</v>
      </c>
      <c r="K10" s="2"/>
      <c r="L10" s="16">
        <v>0</v>
      </c>
      <c r="M10" s="16">
        <f t="shared" si="0"/>
        <v>1422.1299999999999</v>
      </c>
      <c r="N10" s="16">
        <f t="shared" si="1"/>
        <v>0</v>
      </c>
      <c r="O10" s="16">
        <f t="shared" si="2"/>
        <v>2140</v>
      </c>
      <c r="P10" s="17">
        <f t="shared" si="3"/>
        <v>3562.13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">
      <c r="A11" s="14" t="s">
        <v>15</v>
      </c>
      <c r="B11" s="10">
        <v>44</v>
      </c>
      <c r="C11" s="10">
        <v>5</v>
      </c>
      <c r="D11" s="10">
        <v>27</v>
      </c>
      <c r="E11" s="10">
        <v>0</v>
      </c>
      <c r="F11" s="10">
        <v>29</v>
      </c>
      <c r="G11" s="15"/>
      <c r="H11" s="15"/>
      <c r="I11" s="10">
        <v>1229</v>
      </c>
      <c r="J11" s="11">
        <v>46395</v>
      </c>
      <c r="K11" s="2"/>
      <c r="L11" s="16">
        <v>0</v>
      </c>
      <c r="M11" s="16">
        <f t="shared" si="0"/>
        <v>376.65499999999997</v>
      </c>
      <c r="N11" s="16">
        <f t="shared" si="1"/>
        <v>0</v>
      </c>
      <c r="O11" s="16">
        <f t="shared" si="2"/>
        <v>2200</v>
      </c>
      <c r="P11" s="17">
        <f t="shared" si="3"/>
        <v>2576.6549999999997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4" t="s">
        <v>14</v>
      </c>
      <c r="B12" s="10">
        <v>234</v>
      </c>
      <c r="C12" s="10">
        <v>1</v>
      </c>
      <c r="D12" s="10">
        <v>18</v>
      </c>
      <c r="E12" s="10">
        <v>10</v>
      </c>
      <c r="F12" s="10">
        <v>11</v>
      </c>
      <c r="G12" s="15"/>
      <c r="H12" s="15"/>
      <c r="I12" s="10">
        <v>1236</v>
      </c>
      <c r="J12" s="11">
        <v>46403</v>
      </c>
      <c r="K12" s="2"/>
      <c r="L12" s="16">
        <v>0</v>
      </c>
      <c r="M12" s="16">
        <f t="shared" si="0"/>
        <v>1994.0349999999999</v>
      </c>
      <c r="N12" s="16">
        <f t="shared" si="1"/>
        <v>0</v>
      </c>
      <c r="O12" s="16">
        <f t="shared" si="2"/>
        <v>1500</v>
      </c>
      <c r="P12" s="17">
        <f t="shared" si="3"/>
        <v>3494.0349999999999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">
      <c r="A13" s="14" t="s">
        <v>10</v>
      </c>
      <c r="B13" s="10">
        <v>0</v>
      </c>
      <c r="C13" s="10">
        <v>0</v>
      </c>
      <c r="D13" s="10">
        <v>19</v>
      </c>
      <c r="E13" s="10">
        <v>9</v>
      </c>
      <c r="F13" s="10">
        <v>12</v>
      </c>
      <c r="G13" s="15"/>
      <c r="H13" s="15"/>
      <c r="I13" s="10">
        <v>1235</v>
      </c>
      <c r="J13" s="11">
        <v>46395</v>
      </c>
      <c r="K13" s="2"/>
      <c r="L13" s="16">
        <v>0</v>
      </c>
      <c r="M13" s="16">
        <f t="shared" si="0"/>
        <v>0</v>
      </c>
      <c r="N13" s="16">
        <f t="shared" si="1"/>
        <v>0</v>
      </c>
      <c r="O13" s="16">
        <f t="shared" si="2"/>
        <v>1560</v>
      </c>
      <c r="P13" s="17">
        <f t="shared" si="3"/>
        <v>1560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3">
      <c r="A14" s="14" t="s">
        <v>36</v>
      </c>
      <c r="B14" s="18">
        <v>0</v>
      </c>
      <c r="C14" s="19"/>
      <c r="D14" s="19"/>
      <c r="E14" s="19"/>
      <c r="F14" s="19"/>
      <c r="G14" s="19"/>
      <c r="H14" s="19"/>
      <c r="I14" s="18"/>
      <c r="J14" s="20"/>
      <c r="K14" s="2"/>
      <c r="L14" s="16">
        <v>0</v>
      </c>
      <c r="M14" s="16">
        <f>(B14*4.27)+(C14*0.355)</f>
        <v>0</v>
      </c>
      <c r="N14" s="16">
        <f t="shared" si="1"/>
        <v>0</v>
      </c>
      <c r="O14" s="16">
        <f t="shared" si="2"/>
        <v>0</v>
      </c>
      <c r="P14" s="17">
        <f>M14+N14+O14</f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14"/>
      <c r="B15" s="10"/>
      <c r="C15" s="10"/>
      <c r="D15" s="10"/>
      <c r="E15" s="10"/>
      <c r="F15" s="10"/>
      <c r="G15" s="18"/>
      <c r="H15" s="18"/>
      <c r="I15" s="10"/>
      <c r="J15" s="11"/>
      <c r="K15" s="2"/>
      <c r="L15" s="16"/>
      <c r="M15" s="16"/>
      <c r="N15" s="16"/>
      <c r="O15" s="16"/>
      <c r="P15" s="1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3">
      <c r="A16" s="21" t="s">
        <v>37</v>
      </c>
      <c r="B16" s="10"/>
      <c r="C16" s="10"/>
      <c r="D16" s="10"/>
      <c r="E16" s="10"/>
      <c r="F16" s="10"/>
      <c r="G16" s="10"/>
      <c r="H16" s="10"/>
      <c r="I16" s="10"/>
      <c r="J16" s="11"/>
      <c r="K16" s="2"/>
      <c r="L16" s="16"/>
      <c r="M16" s="16"/>
      <c r="N16" s="16"/>
      <c r="O16" s="16"/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">
      <c r="A17" s="14" t="s">
        <v>38</v>
      </c>
      <c r="B17" s="36"/>
      <c r="C17" s="36"/>
      <c r="D17" s="15"/>
      <c r="E17" s="15"/>
      <c r="F17" s="15"/>
      <c r="G17" s="22">
        <v>10</v>
      </c>
      <c r="H17" s="23">
        <v>19</v>
      </c>
      <c r="I17" s="10">
        <v>1191</v>
      </c>
      <c r="J17" s="11">
        <v>46247</v>
      </c>
      <c r="K17" s="2"/>
      <c r="L17" s="16">
        <v>0</v>
      </c>
      <c r="M17" s="16">
        <f t="shared" ref="M17:M19" si="4">(B17*8.52)+(C17*0.355)</f>
        <v>0</v>
      </c>
      <c r="N17" s="16">
        <f t="shared" ref="N17:N19" si="5">(G17*8.52)+(H17*0.355)</f>
        <v>91.944999999999993</v>
      </c>
      <c r="O17" s="16">
        <f t="shared" ref="O17:O19" si="6">(D17*60)+(E17*20)+(F17*20)+L17</f>
        <v>0</v>
      </c>
      <c r="P17" s="17">
        <f>M17+N17+O17</f>
        <v>91.944999999999993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">
      <c r="A18" s="14" t="s">
        <v>53</v>
      </c>
      <c r="B18" s="36"/>
      <c r="C18" s="36"/>
      <c r="D18" s="24">
        <v>12</v>
      </c>
      <c r="E18" s="24">
        <v>5</v>
      </c>
      <c r="F18" s="24">
        <v>23</v>
      </c>
      <c r="G18" s="15"/>
      <c r="H18" s="15"/>
      <c r="I18" s="35">
        <v>1242</v>
      </c>
      <c r="J18" s="11">
        <v>46421</v>
      </c>
      <c r="K18" s="2"/>
      <c r="L18" s="16">
        <v>1</v>
      </c>
      <c r="M18" s="16">
        <f t="shared" si="4"/>
        <v>0</v>
      </c>
      <c r="N18" s="16">
        <f t="shared" si="5"/>
        <v>0</v>
      </c>
      <c r="O18" s="16">
        <f t="shared" si="6"/>
        <v>1281</v>
      </c>
      <c r="P18" s="17">
        <f>M18+N18+O18</f>
        <v>1281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">
      <c r="A19" s="14" t="s">
        <v>51</v>
      </c>
      <c r="B19" s="36"/>
      <c r="C19" s="36"/>
      <c r="D19" s="24">
        <v>0</v>
      </c>
      <c r="E19" s="24">
        <v>0</v>
      </c>
      <c r="F19" s="24">
        <v>2</v>
      </c>
      <c r="G19" s="15"/>
      <c r="H19" s="15"/>
      <c r="I19" s="35">
        <v>1238</v>
      </c>
      <c r="J19" s="11">
        <v>46397</v>
      </c>
      <c r="K19" s="2"/>
      <c r="L19" s="16">
        <v>2</v>
      </c>
      <c r="M19" s="16">
        <f t="shared" si="4"/>
        <v>0</v>
      </c>
      <c r="N19" s="16">
        <f t="shared" si="5"/>
        <v>0</v>
      </c>
      <c r="O19" s="16">
        <f t="shared" si="6"/>
        <v>42</v>
      </c>
      <c r="P19" s="17">
        <f>M19+N19+O19</f>
        <v>42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3">
      <c r="A20" s="14" t="s">
        <v>54</v>
      </c>
      <c r="B20" s="36"/>
      <c r="C20" s="36"/>
      <c r="D20" s="24">
        <v>8</v>
      </c>
      <c r="E20" s="24">
        <v>0</v>
      </c>
      <c r="F20" s="24">
        <v>8</v>
      </c>
      <c r="G20" s="15"/>
      <c r="H20" s="15"/>
      <c r="I20" s="35">
        <v>1241</v>
      </c>
      <c r="J20" s="11">
        <v>46428</v>
      </c>
      <c r="K20" s="2"/>
      <c r="L20" s="16">
        <v>3</v>
      </c>
      <c r="M20" s="16">
        <f t="shared" ref="M20:M21" si="7">(B20*8.52)+(C20*0.355)</f>
        <v>0</v>
      </c>
      <c r="N20" s="16">
        <f t="shared" ref="N20:N21" si="8">(G20*8.52)+(H20*0.355)</f>
        <v>0</v>
      </c>
      <c r="O20" s="16">
        <f t="shared" ref="O20:O21" si="9">(D20*60)+(E20*20)+(F20*20)+L20</f>
        <v>643</v>
      </c>
      <c r="P20" s="17">
        <f>M20+N20+O20</f>
        <v>643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3">
      <c r="A21" s="14" t="s">
        <v>55</v>
      </c>
      <c r="B21" s="36"/>
      <c r="C21" s="36"/>
      <c r="D21" s="24">
        <v>8</v>
      </c>
      <c r="E21" s="24">
        <v>12</v>
      </c>
      <c r="F21" s="24">
        <v>20</v>
      </c>
      <c r="G21" s="15"/>
      <c r="H21" s="15"/>
      <c r="I21" s="35">
        <v>1234</v>
      </c>
      <c r="J21" s="11">
        <v>46429</v>
      </c>
      <c r="K21" s="2"/>
      <c r="L21" s="16">
        <v>4</v>
      </c>
      <c r="M21" s="16">
        <f t="shared" si="7"/>
        <v>0</v>
      </c>
      <c r="N21" s="16">
        <f t="shared" si="8"/>
        <v>0</v>
      </c>
      <c r="O21" s="16">
        <f t="shared" si="9"/>
        <v>1124</v>
      </c>
      <c r="P21" s="17">
        <f>M21+N21+O21</f>
        <v>1124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">
      <c r="A22" s="14"/>
      <c r="B22" s="10"/>
      <c r="C22" s="10"/>
      <c r="D22" s="10"/>
      <c r="E22" s="10"/>
      <c r="F22" s="10"/>
      <c r="G22" s="18"/>
      <c r="H22" s="18"/>
      <c r="I22" s="10"/>
      <c r="J22" s="11"/>
      <c r="K22" s="2"/>
      <c r="L22" s="16"/>
      <c r="M22" s="16"/>
      <c r="N22" s="16"/>
      <c r="O22" s="16"/>
      <c r="P22" s="1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3">
      <c r="A23" s="21" t="s">
        <v>39</v>
      </c>
      <c r="B23" s="18"/>
      <c r="C23" s="18"/>
      <c r="D23" s="18"/>
      <c r="E23" s="18"/>
      <c r="F23" s="18"/>
      <c r="G23" s="18"/>
      <c r="H23" s="18"/>
      <c r="I23" s="18"/>
      <c r="J23" s="20"/>
      <c r="K23" s="2"/>
      <c r="L23" s="16"/>
      <c r="M23" s="16"/>
      <c r="N23" s="16"/>
      <c r="O23" s="16"/>
      <c r="P23" s="1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3">
      <c r="A24" s="14" t="s">
        <v>9</v>
      </c>
      <c r="B24" s="10">
        <v>26</v>
      </c>
      <c r="C24" s="24">
        <v>3</v>
      </c>
      <c r="D24" s="15"/>
      <c r="E24" s="15"/>
      <c r="F24" s="15"/>
      <c r="G24" s="15"/>
      <c r="H24" s="15"/>
      <c r="I24" s="10">
        <v>1115</v>
      </c>
      <c r="J24" s="11">
        <v>46066</v>
      </c>
      <c r="K24" s="2"/>
      <c r="L24" s="16">
        <v>0</v>
      </c>
      <c r="M24" s="16">
        <f t="shared" ref="M24:M34" si="10">(B24*8.52)+(C24*0.355)</f>
        <v>222.58499999999998</v>
      </c>
      <c r="N24" s="16">
        <f t="shared" ref="N24:N34" si="11">(G24*8.52)+(H24*0.355)</f>
        <v>0</v>
      </c>
      <c r="O24" s="16">
        <f t="shared" ref="O24:O34" si="12">(D24*60)+(E24*20)+(F24*20)+L24</f>
        <v>0</v>
      </c>
      <c r="P24" s="17">
        <f t="shared" ref="P24:P34" si="13">M24+N24+O24</f>
        <v>222.58499999999998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">
      <c r="A25" s="14" t="s">
        <v>8</v>
      </c>
      <c r="B25" s="10">
        <v>21</v>
      </c>
      <c r="C25" s="15"/>
      <c r="D25" s="15"/>
      <c r="E25" s="15"/>
      <c r="F25" s="15"/>
      <c r="G25" s="15"/>
      <c r="H25" s="15"/>
      <c r="I25" s="10">
        <v>1104</v>
      </c>
      <c r="J25" s="11">
        <v>45938</v>
      </c>
      <c r="K25" s="2"/>
      <c r="L25" s="16">
        <v>0</v>
      </c>
      <c r="M25" s="16">
        <f t="shared" si="10"/>
        <v>178.92</v>
      </c>
      <c r="N25" s="16">
        <f t="shared" si="11"/>
        <v>0</v>
      </c>
      <c r="O25" s="16">
        <f t="shared" si="12"/>
        <v>0</v>
      </c>
      <c r="P25" s="17">
        <f t="shared" si="13"/>
        <v>178.92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14" t="s">
        <v>40</v>
      </c>
      <c r="B26" s="10">
        <v>11</v>
      </c>
      <c r="C26" s="18">
        <v>11</v>
      </c>
      <c r="D26" s="15"/>
      <c r="E26" s="15"/>
      <c r="F26" s="15"/>
      <c r="G26" s="15"/>
      <c r="H26" s="15"/>
      <c r="I26" s="10">
        <v>1144</v>
      </c>
      <c r="J26" s="11">
        <v>46114</v>
      </c>
      <c r="K26" s="2"/>
      <c r="L26" s="16">
        <v>0</v>
      </c>
      <c r="M26" s="16">
        <f t="shared" si="10"/>
        <v>97.625</v>
      </c>
      <c r="N26" s="16">
        <f t="shared" si="11"/>
        <v>0</v>
      </c>
      <c r="O26" s="16">
        <f t="shared" si="12"/>
        <v>0</v>
      </c>
      <c r="P26" s="17">
        <f t="shared" si="13"/>
        <v>97.625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3">
      <c r="A27" s="14" t="s">
        <v>41</v>
      </c>
      <c r="B27" s="10">
        <v>8</v>
      </c>
      <c r="C27" s="18">
        <v>22</v>
      </c>
      <c r="D27" s="15"/>
      <c r="E27" s="15"/>
      <c r="F27" s="15"/>
      <c r="G27" s="15"/>
      <c r="H27" s="15"/>
      <c r="I27" s="10">
        <v>1168</v>
      </c>
      <c r="J27" s="11">
        <v>46118</v>
      </c>
      <c r="K27" s="2"/>
      <c r="L27" s="16">
        <v>0</v>
      </c>
      <c r="M27" s="16">
        <f t="shared" si="10"/>
        <v>75.97</v>
      </c>
      <c r="N27" s="16">
        <f t="shared" si="11"/>
        <v>0</v>
      </c>
      <c r="O27" s="16">
        <f t="shared" si="12"/>
        <v>0</v>
      </c>
      <c r="P27" s="17">
        <f t="shared" si="13"/>
        <v>75.97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3">
      <c r="A28" s="14" t="s">
        <v>56</v>
      </c>
      <c r="B28" s="10">
        <v>40</v>
      </c>
      <c r="C28" s="15"/>
      <c r="D28" s="15"/>
      <c r="E28" s="15"/>
      <c r="F28" s="15"/>
      <c r="G28" s="15"/>
      <c r="H28" s="15"/>
      <c r="I28" s="10">
        <v>1180</v>
      </c>
      <c r="J28" s="11">
        <v>46156</v>
      </c>
      <c r="K28" s="2"/>
      <c r="L28" s="16">
        <v>0</v>
      </c>
      <c r="M28" s="16">
        <f t="shared" si="10"/>
        <v>340.79999999999995</v>
      </c>
      <c r="N28" s="16">
        <f t="shared" si="11"/>
        <v>0</v>
      </c>
      <c r="O28" s="16">
        <f t="shared" si="12"/>
        <v>0</v>
      </c>
      <c r="P28" s="17">
        <f t="shared" si="13"/>
        <v>340.79999999999995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3">
      <c r="A29" s="14" t="s">
        <v>43</v>
      </c>
      <c r="B29" s="10">
        <v>0</v>
      </c>
      <c r="C29" s="15"/>
      <c r="D29" s="15"/>
      <c r="E29" s="15"/>
      <c r="F29" s="15"/>
      <c r="G29" s="15"/>
      <c r="H29" s="15"/>
      <c r="I29" s="10">
        <v>1152</v>
      </c>
      <c r="J29" s="11">
        <v>46135</v>
      </c>
      <c r="K29" s="2"/>
      <c r="L29" s="16"/>
      <c r="M29" s="16">
        <f t="shared" si="10"/>
        <v>0</v>
      </c>
      <c r="N29" s="16">
        <f t="shared" si="11"/>
        <v>0</v>
      </c>
      <c r="O29" s="16">
        <f t="shared" si="12"/>
        <v>0</v>
      </c>
      <c r="P29" s="17">
        <f t="shared" si="13"/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3">
      <c r="A30" s="14" t="s">
        <v>44</v>
      </c>
      <c r="B30" s="10"/>
      <c r="C30" s="15"/>
      <c r="D30" s="15"/>
      <c r="E30" s="15"/>
      <c r="F30" s="15"/>
      <c r="G30" s="15"/>
      <c r="H30" s="15"/>
      <c r="I30" s="10">
        <v>1144</v>
      </c>
      <c r="J30" s="11">
        <v>46088</v>
      </c>
      <c r="K30" s="2"/>
      <c r="L30" s="16">
        <v>0</v>
      </c>
      <c r="M30" s="16">
        <f t="shared" si="10"/>
        <v>0</v>
      </c>
      <c r="N30" s="16">
        <f t="shared" si="11"/>
        <v>0</v>
      </c>
      <c r="O30" s="16">
        <f t="shared" si="12"/>
        <v>0</v>
      </c>
      <c r="P30" s="17">
        <f t="shared" si="13"/>
        <v>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3">
      <c r="A31" s="14" t="s">
        <v>45</v>
      </c>
      <c r="B31" s="10">
        <v>14</v>
      </c>
      <c r="C31" s="15"/>
      <c r="D31" s="15"/>
      <c r="E31" s="15"/>
      <c r="F31" s="15"/>
      <c r="G31" s="15"/>
      <c r="H31" s="15"/>
      <c r="I31" s="10">
        <v>1150</v>
      </c>
      <c r="J31" s="11">
        <v>46129</v>
      </c>
      <c r="K31" s="2"/>
      <c r="L31" s="16">
        <v>0</v>
      </c>
      <c r="M31" s="16">
        <f t="shared" si="10"/>
        <v>119.28</v>
      </c>
      <c r="N31" s="16">
        <f t="shared" si="11"/>
        <v>0</v>
      </c>
      <c r="O31" s="16">
        <f t="shared" si="12"/>
        <v>0</v>
      </c>
      <c r="P31" s="17">
        <f t="shared" si="13"/>
        <v>119.28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">
      <c r="A32" s="14" t="s">
        <v>52</v>
      </c>
      <c r="B32" s="10">
        <v>82</v>
      </c>
      <c r="C32" s="15"/>
      <c r="D32" s="15"/>
      <c r="E32" s="15"/>
      <c r="F32" s="15"/>
      <c r="G32" s="15"/>
      <c r="H32" s="15"/>
      <c r="I32" s="10">
        <v>1230</v>
      </c>
      <c r="J32" s="11">
        <v>46402</v>
      </c>
      <c r="K32" s="2"/>
      <c r="L32" s="16"/>
      <c r="M32" s="16">
        <f t="shared" si="10"/>
        <v>698.64</v>
      </c>
      <c r="N32" s="16"/>
      <c r="O32" s="16"/>
      <c r="P32" s="17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">
      <c r="A33" s="14" t="s">
        <v>46</v>
      </c>
      <c r="B33" s="10">
        <v>0</v>
      </c>
      <c r="C33" s="15"/>
      <c r="D33" s="15"/>
      <c r="E33" s="15"/>
      <c r="F33" s="15"/>
      <c r="G33" s="15"/>
      <c r="H33" s="15"/>
      <c r="I33" s="10">
        <v>1222</v>
      </c>
      <c r="J33" s="11">
        <v>46354</v>
      </c>
      <c r="K33" s="2"/>
      <c r="L33" s="16">
        <v>0</v>
      </c>
      <c r="M33" s="16">
        <f t="shared" si="10"/>
        <v>0</v>
      </c>
      <c r="N33" s="16">
        <f t="shared" si="11"/>
        <v>0</v>
      </c>
      <c r="O33" s="16">
        <f t="shared" si="12"/>
        <v>0</v>
      </c>
      <c r="P33" s="17">
        <f t="shared" si="13"/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3">
      <c r="A34" s="14" t="s">
        <v>47</v>
      </c>
      <c r="B34" s="15"/>
      <c r="C34" s="15"/>
      <c r="D34" s="15"/>
      <c r="E34" s="15"/>
      <c r="F34" s="15"/>
      <c r="G34" s="10">
        <v>41</v>
      </c>
      <c r="H34" s="10">
        <v>0</v>
      </c>
      <c r="I34" s="10" t="s">
        <v>48</v>
      </c>
      <c r="J34" s="11">
        <v>46268</v>
      </c>
      <c r="K34" s="2"/>
      <c r="L34" s="16"/>
      <c r="M34" s="16">
        <f t="shared" si="10"/>
        <v>0</v>
      </c>
      <c r="N34" s="16">
        <f t="shared" si="11"/>
        <v>349.32</v>
      </c>
      <c r="O34" s="16">
        <f t="shared" si="12"/>
        <v>0</v>
      </c>
      <c r="P34" s="25">
        <f t="shared" si="13"/>
        <v>349.32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3">
      <c r="A35" s="7"/>
      <c r="B35" s="5"/>
      <c r="C35" s="5"/>
      <c r="D35" s="5"/>
      <c r="E35" s="5"/>
      <c r="F35" s="5"/>
      <c r="G35" s="5"/>
      <c r="H35" s="5"/>
      <c r="I35" s="5"/>
      <c r="J35" s="26"/>
      <c r="K35" s="2"/>
      <c r="L35" s="27">
        <f>SUM(L8:L17)</f>
        <v>0</v>
      </c>
      <c r="M35" s="27">
        <f>SUM(M8:M17)</f>
        <v>9253.0749999999989</v>
      </c>
      <c r="N35" s="27">
        <f>SUM(N8:N17)</f>
        <v>91.944999999999993</v>
      </c>
      <c r="O35" s="27">
        <f>SUM(O8:O17)</f>
        <v>13540</v>
      </c>
      <c r="P35" s="27">
        <f>SUM(P8:P34)</f>
        <v>27359.519999999997</v>
      </c>
      <c r="Q35" s="1"/>
      <c r="R35" s="28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1" t="s">
        <v>7</v>
      </c>
      <c r="M37" s="85"/>
      <c r="N37" s="85"/>
      <c r="O37" s="85"/>
      <c r="P37" s="8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2">
        <f>P35-'03 FEB'!P33</f>
        <v>-4263.875</v>
      </c>
      <c r="M38" s="93"/>
      <c r="N38" s="93"/>
      <c r="O38" s="93"/>
      <c r="P38" s="94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5">
      <c r="A39" s="28"/>
      <c r="B39" s="29"/>
      <c r="C39" s="29"/>
      <c r="D39" s="29"/>
      <c r="E39" s="2"/>
      <c r="F39" s="2"/>
      <c r="G39" s="29"/>
      <c r="H39" s="29"/>
      <c r="I39" s="29"/>
      <c r="J39" s="2"/>
      <c r="K39" s="2"/>
      <c r="L39" s="95"/>
      <c r="M39" s="85"/>
      <c r="N39" s="85"/>
      <c r="O39" s="85"/>
      <c r="P39" s="86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40.5" customHeight="1" x14ac:dyDescent="0.3">
      <c r="A40" s="2"/>
      <c r="B40" s="96" t="s">
        <v>1</v>
      </c>
      <c r="C40" s="88"/>
      <c r="D40" s="88"/>
      <c r="E40" s="2"/>
      <c r="F40" s="2"/>
      <c r="G40" s="97" t="s">
        <v>49</v>
      </c>
      <c r="H40" s="88"/>
      <c r="I40" s="88"/>
      <c r="J40" s="30"/>
      <c r="K40" s="2"/>
      <c r="L40" s="31" t="s">
        <v>6</v>
      </c>
      <c r="M40" s="31" t="s">
        <v>5</v>
      </c>
      <c r="N40" s="31" t="s">
        <v>4</v>
      </c>
      <c r="O40" s="31" t="s">
        <v>3</v>
      </c>
      <c r="P40" s="31" t="s">
        <v>2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thickBot="1" x14ac:dyDescent="0.35">
      <c r="A41" s="2"/>
      <c r="B41" s="87" t="s">
        <v>0</v>
      </c>
      <c r="C41" s="88"/>
      <c r="D41" s="88"/>
      <c r="E41" s="2"/>
      <c r="F41" s="2"/>
      <c r="G41" s="87" t="s">
        <v>50</v>
      </c>
      <c r="H41" s="88"/>
      <c r="I41" s="88"/>
      <c r="J41" s="2"/>
      <c r="K41" s="2"/>
      <c r="L41" s="32">
        <f>SUM(B8:B17)+SUM(C8:C17)/24</f>
        <v>1086.0416666666667</v>
      </c>
      <c r="M41" s="33">
        <f>SUM(D8:D17)</f>
        <v>175</v>
      </c>
      <c r="N41" s="33">
        <f>SUM(E8:E17)</f>
        <v>35</v>
      </c>
      <c r="O41" s="33">
        <f>SUM(F8:F17)</f>
        <v>117</v>
      </c>
      <c r="P41" s="34">
        <f>SUM(G8:G17)+SUM(H8:H17)/24</f>
        <v>10.791666666666666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3">
    <mergeCell ref="B41:D41"/>
    <mergeCell ref="G41:I41"/>
    <mergeCell ref="J5:J6"/>
    <mergeCell ref="L5:L6"/>
    <mergeCell ref="M5:M6"/>
    <mergeCell ref="L37:P37"/>
    <mergeCell ref="L38:P38"/>
    <mergeCell ref="L39:P39"/>
    <mergeCell ref="B40:D40"/>
    <mergeCell ref="G40:I40"/>
    <mergeCell ref="N5:N6"/>
    <mergeCell ref="O5:O6"/>
    <mergeCell ref="P5:P6"/>
    <mergeCell ref="A1:J1"/>
    <mergeCell ref="B3:D3"/>
    <mergeCell ref="A5:A6"/>
    <mergeCell ref="B5:B6"/>
    <mergeCell ref="C5:C6"/>
    <mergeCell ref="D5:D6"/>
    <mergeCell ref="E5:F5"/>
    <mergeCell ref="G5:G6"/>
    <mergeCell ref="H5:H6"/>
    <mergeCell ref="I5:I6"/>
  </mergeCells>
  <pageMargins left="0.7" right="0.7" top="0.75" bottom="0.75" header="0" footer="0"/>
  <pageSetup paperSize="9" scale="86" orientation="landscape" r:id="rId1"/>
  <rowBreaks count="1" manualBreakCount="1">
    <brk id="34" max="16383" man="1"/>
  </rowBreaks>
  <colBreaks count="2" manualBreakCount="2">
    <brk id="8" max="1048575" man="1"/>
    <brk id="1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FABB-EA85-4A18-94B1-AF45F57CBB7B}">
  <dimension ref="A1:Z1002"/>
  <sheetViews>
    <sheetView zoomScaleNormal="100" workbookViewId="0">
      <selection activeCell="B23" sqref="B23:C24"/>
    </sheetView>
  </sheetViews>
  <sheetFormatPr baseColWidth="10" defaultColWidth="12.5703125" defaultRowHeight="15" customHeight="1" x14ac:dyDescent="0.25"/>
  <cols>
    <col min="1" max="1" width="42.28515625" style="3" customWidth="1"/>
    <col min="2" max="2" width="19.5703125" style="3" customWidth="1"/>
    <col min="3" max="8" width="13" style="3" customWidth="1"/>
    <col min="9" max="9" width="18.5703125" style="3" customWidth="1"/>
    <col min="10" max="10" width="34" style="3" customWidth="1"/>
    <col min="11" max="26" width="13" style="3" customWidth="1"/>
    <col min="27" max="16384" width="12.5703125" style="3"/>
  </cols>
  <sheetData>
    <row r="1" spans="1:26" ht="16.5" customHeight="1" thickBot="1" x14ac:dyDescent="0.35">
      <c r="A1" s="84" t="s">
        <v>34</v>
      </c>
      <c r="B1" s="85"/>
      <c r="C1" s="85"/>
      <c r="D1" s="85"/>
      <c r="E1" s="85"/>
      <c r="F1" s="85"/>
      <c r="G1" s="85"/>
      <c r="H1" s="85"/>
      <c r="I1" s="85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thickBot="1" x14ac:dyDescent="0.35">
      <c r="A3" s="4" t="s">
        <v>33</v>
      </c>
      <c r="B3" s="75">
        <v>46062</v>
      </c>
      <c r="C3" s="76"/>
      <c r="D3" s="77"/>
      <c r="E3" s="5"/>
      <c r="F3" s="5"/>
      <c r="G3" s="5"/>
      <c r="H3" s="2"/>
      <c r="I3" s="2"/>
      <c r="J3" s="2"/>
      <c r="K3" s="2"/>
      <c r="L3" s="6" t="s">
        <v>32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thickBot="1" x14ac:dyDescent="0.35">
      <c r="A4" s="7"/>
      <c r="B4" s="7"/>
      <c r="C4" s="7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thickBot="1" x14ac:dyDescent="0.35">
      <c r="A5" s="71" t="s">
        <v>31</v>
      </c>
      <c r="B5" s="71" t="s">
        <v>30</v>
      </c>
      <c r="C5" s="71" t="s">
        <v>29</v>
      </c>
      <c r="D5" s="71" t="s">
        <v>28</v>
      </c>
      <c r="E5" s="69" t="s">
        <v>27</v>
      </c>
      <c r="F5" s="86"/>
      <c r="G5" s="71" t="s">
        <v>26</v>
      </c>
      <c r="H5" s="71" t="s">
        <v>25</v>
      </c>
      <c r="I5" s="71" t="s">
        <v>24</v>
      </c>
      <c r="J5" s="71" t="s">
        <v>23</v>
      </c>
      <c r="K5" s="2"/>
      <c r="L5" s="89" t="s">
        <v>22</v>
      </c>
      <c r="M5" s="71" t="s">
        <v>21</v>
      </c>
      <c r="N5" s="71" t="s">
        <v>20</v>
      </c>
      <c r="O5" s="71" t="s">
        <v>19</v>
      </c>
      <c r="P5" s="71" t="s">
        <v>18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thickBot="1" x14ac:dyDescent="0.35">
      <c r="A6" s="78"/>
      <c r="B6" s="78"/>
      <c r="C6" s="78"/>
      <c r="D6" s="78"/>
      <c r="E6" s="8" t="s">
        <v>17</v>
      </c>
      <c r="F6" s="8" t="s">
        <v>16</v>
      </c>
      <c r="G6" s="78"/>
      <c r="H6" s="78"/>
      <c r="I6" s="78"/>
      <c r="J6" s="78"/>
      <c r="K6" s="2"/>
      <c r="L6" s="90"/>
      <c r="M6" s="90"/>
      <c r="N6" s="90"/>
      <c r="O6" s="90"/>
      <c r="P6" s="90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3">
      <c r="A7" s="9" t="s">
        <v>35</v>
      </c>
      <c r="B7" s="10"/>
      <c r="C7" s="10"/>
      <c r="D7" s="10"/>
      <c r="E7" s="10"/>
      <c r="F7" s="10"/>
      <c r="G7" s="10"/>
      <c r="H7" s="10"/>
      <c r="I7" s="10"/>
      <c r="J7" s="11"/>
      <c r="K7" s="2"/>
      <c r="L7" s="12"/>
      <c r="M7" s="13"/>
      <c r="N7" s="13"/>
      <c r="O7" s="13"/>
      <c r="P7" s="13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">
      <c r="A8" s="14" t="s">
        <v>11</v>
      </c>
      <c r="B8" s="10">
        <v>26</v>
      </c>
      <c r="C8" s="10">
        <v>2</v>
      </c>
      <c r="D8" s="10">
        <v>64</v>
      </c>
      <c r="E8" s="10">
        <v>30</v>
      </c>
      <c r="F8" s="10">
        <v>66</v>
      </c>
      <c r="G8" s="15"/>
      <c r="H8" s="15"/>
      <c r="I8" s="10">
        <v>1235</v>
      </c>
      <c r="J8" s="11">
        <v>46395</v>
      </c>
      <c r="K8" s="2"/>
      <c r="L8" s="16">
        <v>0</v>
      </c>
      <c r="M8" s="16">
        <f t="shared" ref="M8:M13" si="0">(B8*8.52)+(C8*0.355)</f>
        <v>222.23</v>
      </c>
      <c r="N8" s="16">
        <f t="shared" ref="N8:N14" si="1">(G8*8.52)+(H8*0.355)</f>
        <v>0</v>
      </c>
      <c r="O8" s="16">
        <f t="shared" ref="O8:O14" si="2">(D8*60)+(E8*20)+(F8*20)+L8</f>
        <v>5760</v>
      </c>
      <c r="P8" s="17">
        <f>M8+N8+O8</f>
        <v>5982.23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14" t="s">
        <v>12</v>
      </c>
      <c r="B9" s="10">
        <v>464</v>
      </c>
      <c r="C9" s="10">
        <v>4</v>
      </c>
      <c r="D9" s="10">
        <v>46</v>
      </c>
      <c r="E9" s="10">
        <v>0</v>
      </c>
      <c r="F9" s="10">
        <v>51</v>
      </c>
      <c r="G9" s="15"/>
      <c r="H9" s="15"/>
      <c r="I9" s="10">
        <v>1230</v>
      </c>
      <c r="J9" s="11">
        <v>46402</v>
      </c>
      <c r="K9" s="2"/>
      <c r="L9" s="16">
        <v>0</v>
      </c>
      <c r="M9" s="16">
        <f t="shared" si="0"/>
        <v>3954.7</v>
      </c>
      <c r="N9" s="16">
        <f t="shared" si="1"/>
        <v>0</v>
      </c>
      <c r="O9" s="16">
        <f t="shared" si="2"/>
        <v>3780</v>
      </c>
      <c r="P9" s="17">
        <f t="shared" ref="P9:P13" si="3">M9+N9+O9</f>
        <v>7734.7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">
      <c r="A10" s="14" t="s">
        <v>13</v>
      </c>
      <c r="B10" s="10">
        <v>357</v>
      </c>
      <c r="C10" s="10">
        <v>9</v>
      </c>
      <c r="D10" s="10">
        <v>37</v>
      </c>
      <c r="E10" s="10">
        <v>0</v>
      </c>
      <c r="F10" s="10">
        <v>27</v>
      </c>
      <c r="G10" s="15"/>
      <c r="H10" s="15"/>
      <c r="I10" s="10">
        <v>1231</v>
      </c>
      <c r="J10" s="11">
        <v>46396</v>
      </c>
      <c r="K10" s="2"/>
      <c r="L10" s="16">
        <v>0</v>
      </c>
      <c r="M10" s="16">
        <f t="shared" si="0"/>
        <v>3044.835</v>
      </c>
      <c r="N10" s="16">
        <f t="shared" si="1"/>
        <v>0</v>
      </c>
      <c r="O10" s="16">
        <f t="shared" si="2"/>
        <v>2760</v>
      </c>
      <c r="P10" s="17">
        <f t="shared" si="3"/>
        <v>5804.835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">
      <c r="A11" s="14" t="s">
        <v>15</v>
      </c>
      <c r="B11" s="10">
        <v>257</v>
      </c>
      <c r="C11" s="10">
        <v>19</v>
      </c>
      <c r="D11" s="10">
        <v>33</v>
      </c>
      <c r="E11" s="10">
        <v>7</v>
      </c>
      <c r="F11" s="10">
        <v>37</v>
      </c>
      <c r="G11" s="15"/>
      <c r="H11" s="15"/>
      <c r="I11" s="10">
        <v>1229</v>
      </c>
      <c r="J11" s="11">
        <v>46395</v>
      </c>
      <c r="K11" s="2"/>
      <c r="L11" s="16">
        <v>0</v>
      </c>
      <c r="M11" s="16">
        <f t="shared" si="0"/>
        <v>2196.3849999999998</v>
      </c>
      <c r="N11" s="16">
        <f t="shared" si="1"/>
        <v>0</v>
      </c>
      <c r="O11" s="16">
        <f t="shared" si="2"/>
        <v>2860</v>
      </c>
      <c r="P11" s="17">
        <f t="shared" si="3"/>
        <v>5056.3850000000002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4" t="s">
        <v>14</v>
      </c>
      <c r="B12" s="10">
        <v>18</v>
      </c>
      <c r="C12" s="10">
        <v>16</v>
      </c>
      <c r="D12" s="10">
        <v>0</v>
      </c>
      <c r="E12" s="10">
        <v>0</v>
      </c>
      <c r="F12" s="10">
        <v>9</v>
      </c>
      <c r="G12" s="15"/>
      <c r="H12" s="15"/>
      <c r="I12" s="10">
        <v>1236</v>
      </c>
      <c r="J12" s="11">
        <v>46403</v>
      </c>
      <c r="K12" s="2"/>
      <c r="L12" s="16">
        <v>0</v>
      </c>
      <c r="M12" s="16">
        <f t="shared" si="0"/>
        <v>159.04</v>
      </c>
      <c r="N12" s="16">
        <f t="shared" si="1"/>
        <v>0</v>
      </c>
      <c r="O12" s="16">
        <f t="shared" si="2"/>
        <v>180</v>
      </c>
      <c r="P12" s="17">
        <f t="shared" si="3"/>
        <v>339.03999999999996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">
      <c r="A13" s="14" t="s">
        <v>10</v>
      </c>
      <c r="B13" s="10">
        <v>119</v>
      </c>
      <c r="C13" s="10">
        <v>7</v>
      </c>
      <c r="D13" s="10">
        <v>25</v>
      </c>
      <c r="E13" s="10">
        <v>15</v>
      </c>
      <c r="F13" s="10">
        <v>15</v>
      </c>
      <c r="G13" s="15"/>
      <c r="H13" s="15"/>
      <c r="I13" s="10">
        <v>1235</v>
      </c>
      <c r="J13" s="11">
        <v>46395</v>
      </c>
      <c r="K13" s="2"/>
      <c r="L13" s="16">
        <v>0</v>
      </c>
      <c r="M13" s="16">
        <f t="shared" si="0"/>
        <v>1016.365</v>
      </c>
      <c r="N13" s="16">
        <f t="shared" si="1"/>
        <v>0</v>
      </c>
      <c r="O13" s="16">
        <f t="shared" si="2"/>
        <v>2100</v>
      </c>
      <c r="P13" s="17">
        <f t="shared" si="3"/>
        <v>3116.3649999999998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3">
      <c r="A14" s="14" t="s">
        <v>36</v>
      </c>
      <c r="B14" s="18">
        <v>0</v>
      </c>
      <c r="C14" s="19"/>
      <c r="D14" s="19"/>
      <c r="E14" s="19"/>
      <c r="F14" s="19"/>
      <c r="G14" s="19"/>
      <c r="H14" s="19"/>
      <c r="I14" s="18"/>
      <c r="J14" s="20"/>
      <c r="K14" s="2"/>
      <c r="L14" s="16">
        <v>0</v>
      </c>
      <c r="M14" s="16">
        <f>(B14*4.27)+(C14*0.355)</f>
        <v>0</v>
      </c>
      <c r="N14" s="16">
        <f t="shared" si="1"/>
        <v>0</v>
      </c>
      <c r="O14" s="16">
        <f t="shared" si="2"/>
        <v>0</v>
      </c>
      <c r="P14" s="17">
        <f>M14+N14+O14</f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14"/>
      <c r="B15" s="10"/>
      <c r="C15" s="10"/>
      <c r="D15" s="10"/>
      <c r="E15" s="10"/>
      <c r="F15" s="10"/>
      <c r="G15" s="18"/>
      <c r="H15" s="18"/>
      <c r="I15" s="10"/>
      <c r="J15" s="11"/>
      <c r="K15" s="2"/>
      <c r="L15" s="16"/>
      <c r="M15" s="16"/>
      <c r="N15" s="16"/>
      <c r="O15" s="16"/>
      <c r="P15" s="1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3">
      <c r="A16" s="21" t="s">
        <v>37</v>
      </c>
      <c r="B16" s="10"/>
      <c r="C16" s="10"/>
      <c r="D16" s="10"/>
      <c r="E16" s="10"/>
      <c r="F16" s="10"/>
      <c r="G16" s="10"/>
      <c r="H16" s="10"/>
      <c r="I16" s="10"/>
      <c r="J16" s="11"/>
      <c r="K16" s="2"/>
      <c r="L16" s="16"/>
      <c r="M16" s="16"/>
      <c r="N16" s="16"/>
      <c r="O16" s="16"/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">
      <c r="A17" s="14" t="s">
        <v>38</v>
      </c>
      <c r="B17" s="36"/>
      <c r="C17" s="36"/>
      <c r="D17" s="15"/>
      <c r="E17" s="15"/>
      <c r="F17" s="15"/>
      <c r="G17" s="22">
        <v>12</v>
      </c>
      <c r="H17" s="23">
        <v>19</v>
      </c>
      <c r="I17" s="10">
        <v>1191</v>
      </c>
      <c r="J17" s="11">
        <v>46247</v>
      </c>
      <c r="K17" s="2"/>
      <c r="L17" s="16">
        <v>0</v>
      </c>
      <c r="M17" s="16">
        <f t="shared" ref="M17:M19" si="4">(B17*8.52)+(C17*0.355)</f>
        <v>0</v>
      </c>
      <c r="N17" s="16">
        <f t="shared" ref="N17:N19" si="5">(G17*8.52)+(H17*0.355)</f>
        <v>108.985</v>
      </c>
      <c r="O17" s="16">
        <f t="shared" ref="O17:O19" si="6">(D17*60)+(E17*20)+(F17*20)+L17</f>
        <v>0</v>
      </c>
      <c r="P17" s="17">
        <f t="shared" ref="P17:P19" si="7">M17+N17+O17</f>
        <v>108.985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">
      <c r="A18" s="14" t="s">
        <v>53</v>
      </c>
      <c r="B18" s="36"/>
      <c r="C18" s="36"/>
      <c r="D18" s="24">
        <v>18</v>
      </c>
      <c r="E18" s="24">
        <v>10</v>
      </c>
      <c r="F18" s="24">
        <v>47</v>
      </c>
      <c r="G18" s="15"/>
      <c r="H18" s="15"/>
      <c r="I18" s="35">
        <v>1242</v>
      </c>
      <c r="J18" s="11">
        <v>46421</v>
      </c>
      <c r="K18" s="2"/>
      <c r="L18" s="16">
        <v>1</v>
      </c>
      <c r="M18" s="16">
        <f t="shared" si="4"/>
        <v>0</v>
      </c>
      <c r="N18" s="16">
        <f t="shared" si="5"/>
        <v>0</v>
      </c>
      <c r="O18" s="16">
        <f t="shared" si="6"/>
        <v>2221</v>
      </c>
      <c r="P18" s="17">
        <f t="shared" si="7"/>
        <v>2221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">
      <c r="A19" s="14" t="s">
        <v>51</v>
      </c>
      <c r="B19" s="36"/>
      <c r="C19" s="36"/>
      <c r="D19" s="24">
        <v>0</v>
      </c>
      <c r="E19" s="24">
        <v>0</v>
      </c>
      <c r="F19" s="24">
        <v>4</v>
      </c>
      <c r="G19" s="15"/>
      <c r="H19" s="15"/>
      <c r="I19" s="35">
        <v>1238</v>
      </c>
      <c r="J19" s="11">
        <v>46397</v>
      </c>
      <c r="K19" s="2"/>
      <c r="L19" s="16">
        <v>2</v>
      </c>
      <c r="M19" s="16">
        <f t="shared" si="4"/>
        <v>0</v>
      </c>
      <c r="N19" s="16">
        <f t="shared" si="5"/>
        <v>0</v>
      </c>
      <c r="O19" s="16">
        <f t="shared" si="6"/>
        <v>82</v>
      </c>
      <c r="P19" s="17">
        <f t="shared" si="7"/>
        <v>82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3">
      <c r="A20" s="14" t="s">
        <v>54</v>
      </c>
      <c r="B20" s="36"/>
      <c r="C20" s="36"/>
      <c r="D20" s="24">
        <v>2</v>
      </c>
      <c r="E20" s="24">
        <v>0</v>
      </c>
      <c r="F20" s="24">
        <v>0</v>
      </c>
      <c r="G20" s="15"/>
      <c r="H20" s="15"/>
      <c r="I20" s="35"/>
      <c r="J20" s="11"/>
      <c r="K20" s="2"/>
      <c r="L20" s="16"/>
      <c r="M20" s="16"/>
      <c r="N20" s="16"/>
      <c r="O20" s="16"/>
      <c r="P20" s="1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3">
      <c r="A21" s="14"/>
      <c r="B21" s="10"/>
      <c r="C21" s="10"/>
      <c r="D21" s="10"/>
      <c r="E21" s="10"/>
      <c r="F21" s="10"/>
      <c r="G21" s="18"/>
      <c r="H21" s="18"/>
      <c r="I21" s="10"/>
      <c r="J21" s="11"/>
      <c r="K21" s="2"/>
      <c r="L21" s="16"/>
      <c r="M21" s="16"/>
      <c r="N21" s="16"/>
      <c r="O21" s="16"/>
      <c r="P21" s="1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">
      <c r="A22" s="21" t="s">
        <v>39</v>
      </c>
      <c r="B22" s="18"/>
      <c r="C22" s="18"/>
      <c r="D22" s="18"/>
      <c r="E22" s="18"/>
      <c r="F22" s="18"/>
      <c r="G22" s="18"/>
      <c r="H22" s="18"/>
      <c r="I22" s="18"/>
      <c r="J22" s="20"/>
      <c r="K22" s="2"/>
      <c r="L22" s="16"/>
      <c r="M22" s="16"/>
      <c r="N22" s="16"/>
      <c r="O22" s="16"/>
      <c r="P22" s="1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3">
      <c r="A23" s="14" t="s">
        <v>9</v>
      </c>
      <c r="B23" s="10">
        <v>26</v>
      </c>
      <c r="C23" s="24">
        <v>3</v>
      </c>
      <c r="D23" s="15"/>
      <c r="E23" s="15"/>
      <c r="F23" s="15"/>
      <c r="G23" s="15"/>
      <c r="H23" s="15"/>
      <c r="I23" s="10">
        <v>1115</v>
      </c>
      <c r="J23" s="11">
        <v>46066</v>
      </c>
      <c r="K23" s="2"/>
      <c r="L23" s="16">
        <v>0</v>
      </c>
      <c r="M23" s="16">
        <f t="shared" ref="M23:M33" si="8">(B23*8.52)+(C23*0.355)</f>
        <v>222.58499999999998</v>
      </c>
      <c r="N23" s="16">
        <f t="shared" ref="N23:N33" si="9">(G23*8.52)+(H23*0.355)</f>
        <v>0</v>
      </c>
      <c r="O23" s="16">
        <f t="shared" ref="O23:O33" si="10">(D23*60)+(E23*20)+(F23*20)+L23</f>
        <v>0</v>
      </c>
      <c r="P23" s="17">
        <f t="shared" ref="P23:P33" si="11">M23+N23+O23</f>
        <v>222.58499999999998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3">
      <c r="A24" s="14" t="s">
        <v>8</v>
      </c>
      <c r="B24" s="10">
        <v>21</v>
      </c>
      <c r="C24" s="15"/>
      <c r="D24" s="15"/>
      <c r="E24" s="15"/>
      <c r="F24" s="15"/>
      <c r="G24" s="15"/>
      <c r="H24" s="15"/>
      <c r="I24" s="10">
        <v>1104</v>
      </c>
      <c r="J24" s="11">
        <v>45938</v>
      </c>
      <c r="K24" s="2"/>
      <c r="L24" s="16">
        <v>0</v>
      </c>
      <c r="M24" s="16">
        <f t="shared" si="8"/>
        <v>178.92</v>
      </c>
      <c r="N24" s="16">
        <f t="shared" si="9"/>
        <v>0</v>
      </c>
      <c r="O24" s="16">
        <f t="shared" si="10"/>
        <v>0</v>
      </c>
      <c r="P24" s="17">
        <f t="shared" si="11"/>
        <v>178.92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">
      <c r="A25" s="14" t="s">
        <v>40</v>
      </c>
      <c r="B25" s="10">
        <v>31</v>
      </c>
      <c r="C25" s="18">
        <v>11</v>
      </c>
      <c r="D25" s="15"/>
      <c r="E25" s="15"/>
      <c r="F25" s="15"/>
      <c r="G25" s="15"/>
      <c r="H25" s="15"/>
      <c r="I25" s="10">
        <v>1144</v>
      </c>
      <c r="J25" s="11">
        <v>46114</v>
      </c>
      <c r="K25" s="2"/>
      <c r="L25" s="16">
        <v>0</v>
      </c>
      <c r="M25" s="16">
        <f t="shared" si="8"/>
        <v>268.02499999999998</v>
      </c>
      <c r="N25" s="16">
        <f t="shared" si="9"/>
        <v>0</v>
      </c>
      <c r="O25" s="16">
        <f t="shared" si="10"/>
        <v>0</v>
      </c>
      <c r="P25" s="17">
        <f t="shared" si="11"/>
        <v>268.02499999999998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14" t="s">
        <v>41</v>
      </c>
      <c r="B26" s="10">
        <v>14</v>
      </c>
      <c r="C26" s="18">
        <v>22</v>
      </c>
      <c r="D26" s="15"/>
      <c r="E26" s="15"/>
      <c r="F26" s="15"/>
      <c r="G26" s="15"/>
      <c r="H26" s="15"/>
      <c r="I26" s="10">
        <v>1168</v>
      </c>
      <c r="J26" s="11">
        <v>46118</v>
      </c>
      <c r="K26" s="2"/>
      <c r="L26" s="16">
        <v>0</v>
      </c>
      <c r="M26" s="16">
        <f t="shared" si="8"/>
        <v>127.09</v>
      </c>
      <c r="N26" s="16">
        <f t="shared" si="9"/>
        <v>0</v>
      </c>
      <c r="O26" s="16">
        <f t="shared" si="10"/>
        <v>0</v>
      </c>
      <c r="P26" s="17">
        <f t="shared" si="11"/>
        <v>127.09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3">
      <c r="A27" s="14" t="s">
        <v>42</v>
      </c>
      <c r="B27" s="10">
        <v>0</v>
      </c>
      <c r="C27" s="15"/>
      <c r="D27" s="15"/>
      <c r="E27" s="15"/>
      <c r="F27" s="15"/>
      <c r="G27" s="15"/>
      <c r="H27" s="15"/>
      <c r="I27" s="10">
        <v>1180</v>
      </c>
      <c r="J27" s="11">
        <v>46156</v>
      </c>
      <c r="K27" s="2"/>
      <c r="L27" s="16">
        <v>0</v>
      </c>
      <c r="M27" s="16">
        <f t="shared" si="8"/>
        <v>0</v>
      </c>
      <c r="N27" s="16">
        <f t="shared" si="9"/>
        <v>0</v>
      </c>
      <c r="O27" s="16">
        <f t="shared" si="10"/>
        <v>0</v>
      </c>
      <c r="P27" s="17">
        <f t="shared" si="11"/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3">
      <c r="A28" s="14" t="s">
        <v>43</v>
      </c>
      <c r="B28" s="10">
        <v>6</v>
      </c>
      <c r="C28" s="15"/>
      <c r="D28" s="15"/>
      <c r="E28" s="15"/>
      <c r="F28" s="15"/>
      <c r="G28" s="15"/>
      <c r="H28" s="15"/>
      <c r="I28" s="10">
        <v>1152</v>
      </c>
      <c r="J28" s="11">
        <v>46135</v>
      </c>
      <c r="K28" s="2"/>
      <c r="L28" s="16"/>
      <c r="M28" s="16">
        <f t="shared" si="8"/>
        <v>51.12</v>
      </c>
      <c r="N28" s="16">
        <f t="shared" si="9"/>
        <v>0</v>
      </c>
      <c r="O28" s="16">
        <f t="shared" si="10"/>
        <v>0</v>
      </c>
      <c r="P28" s="17">
        <f t="shared" si="11"/>
        <v>51.12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3">
      <c r="A29" s="14" t="s">
        <v>44</v>
      </c>
      <c r="B29" s="10">
        <v>0</v>
      </c>
      <c r="C29" s="15"/>
      <c r="D29" s="15"/>
      <c r="E29" s="15"/>
      <c r="F29" s="15"/>
      <c r="G29" s="15"/>
      <c r="H29" s="15"/>
      <c r="I29" s="10">
        <v>1144</v>
      </c>
      <c r="J29" s="11">
        <v>46088</v>
      </c>
      <c r="K29" s="2"/>
      <c r="L29" s="16">
        <v>0</v>
      </c>
      <c r="M29" s="16">
        <f t="shared" si="8"/>
        <v>0</v>
      </c>
      <c r="N29" s="16">
        <f t="shared" si="9"/>
        <v>0</v>
      </c>
      <c r="O29" s="16">
        <f t="shared" si="10"/>
        <v>0</v>
      </c>
      <c r="P29" s="17">
        <f t="shared" si="11"/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3">
      <c r="A30" s="14" t="s">
        <v>45</v>
      </c>
      <c r="B30" s="10">
        <v>14</v>
      </c>
      <c r="C30" s="15"/>
      <c r="D30" s="15"/>
      <c r="E30" s="15"/>
      <c r="F30" s="15"/>
      <c r="G30" s="15"/>
      <c r="H30" s="15"/>
      <c r="I30" s="10">
        <v>1150</v>
      </c>
      <c r="J30" s="11">
        <v>46129</v>
      </c>
      <c r="K30" s="2"/>
      <c r="L30" s="16">
        <v>0</v>
      </c>
      <c r="M30" s="16">
        <f t="shared" si="8"/>
        <v>119.28</v>
      </c>
      <c r="N30" s="16">
        <f t="shared" si="9"/>
        <v>0</v>
      </c>
      <c r="O30" s="16">
        <f t="shared" si="10"/>
        <v>0</v>
      </c>
      <c r="P30" s="17">
        <f t="shared" si="11"/>
        <v>119.28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3">
      <c r="A31" s="14" t="s">
        <v>52</v>
      </c>
      <c r="B31" s="10">
        <v>82</v>
      </c>
      <c r="C31" s="15"/>
      <c r="D31" s="15"/>
      <c r="E31" s="15"/>
      <c r="F31" s="15"/>
      <c r="G31" s="15"/>
      <c r="H31" s="15"/>
      <c r="I31" s="10">
        <v>1230</v>
      </c>
      <c r="J31" s="11">
        <v>46402</v>
      </c>
      <c r="K31" s="2"/>
      <c r="L31" s="16"/>
      <c r="M31" s="16">
        <f t="shared" si="8"/>
        <v>698.64</v>
      </c>
      <c r="N31" s="16"/>
      <c r="O31" s="16"/>
      <c r="P31" s="1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">
      <c r="A32" s="14" t="s">
        <v>46</v>
      </c>
      <c r="B32" s="10">
        <v>61</v>
      </c>
      <c r="C32" s="15"/>
      <c r="D32" s="15"/>
      <c r="E32" s="15"/>
      <c r="F32" s="15"/>
      <c r="G32" s="15"/>
      <c r="H32" s="15"/>
      <c r="I32" s="10">
        <v>1222</v>
      </c>
      <c r="J32" s="11">
        <v>46354</v>
      </c>
      <c r="K32" s="2"/>
      <c r="L32" s="16">
        <v>0</v>
      </c>
      <c r="M32" s="16">
        <f t="shared" si="8"/>
        <v>519.72</v>
      </c>
      <c r="N32" s="16">
        <f t="shared" si="9"/>
        <v>0</v>
      </c>
      <c r="O32" s="16">
        <f t="shared" si="10"/>
        <v>0</v>
      </c>
      <c r="P32" s="17">
        <f t="shared" si="11"/>
        <v>519.72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">
      <c r="A33" s="14" t="s">
        <v>47</v>
      </c>
      <c r="B33" s="15"/>
      <c r="C33" s="15"/>
      <c r="D33" s="15"/>
      <c r="E33" s="15"/>
      <c r="F33" s="15"/>
      <c r="G33" s="10">
        <v>48</v>
      </c>
      <c r="H33" s="10">
        <v>0</v>
      </c>
      <c r="I33" s="10" t="s">
        <v>48</v>
      </c>
      <c r="J33" s="11">
        <v>46268</v>
      </c>
      <c r="K33" s="2"/>
      <c r="L33" s="16"/>
      <c r="M33" s="16">
        <f t="shared" si="8"/>
        <v>0</v>
      </c>
      <c r="N33" s="16">
        <f t="shared" si="9"/>
        <v>408.96</v>
      </c>
      <c r="O33" s="16">
        <f t="shared" si="10"/>
        <v>0</v>
      </c>
      <c r="P33" s="25">
        <f t="shared" si="11"/>
        <v>408.96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3">
      <c r="A34" s="7"/>
      <c r="B34" s="5"/>
      <c r="C34" s="5"/>
      <c r="D34" s="5"/>
      <c r="E34" s="5"/>
      <c r="F34" s="5"/>
      <c r="G34" s="5"/>
      <c r="H34" s="5"/>
      <c r="I34" s="5"/>
      <c r="J34" s="26"/>
      <c r="K34" s="2"/>
      <c r="L34" s="27">
        <f>SUM(L8:L17)</f>
        <v>0</v>
      </c>
      <c r="M34" s="27">
        <f>SUM(M8:M17)</f>
        <v>10593.555</v>
      </c>
      <c r="N34" s="27">
        <f>SUM(N8:N17)</f>
        <v>108.985</v>
      </c>
      <c r="O34" s="27">
        <f>SUM(O8:O17)</f>
        <v>17440</v>
      </c>
      <c r="P34" s="27">
        <f>SUM(P8:P33)</f>
        <v>32341.239999999998</v>
      </c>
      <c r="Q34" s="1"/>
      <c r="R34" s="28"/>
      <c r="S34" s="2"/>
      <c r="T34" s="2"/>
      <c r="U34" s="2"/>
      <c r="V34" s="2"/>
      <c r="W34" s="2"/>
      <c r="X34" s="2"/>
      <c r="Y34" s="2"/>
      <c r="Z34" s="2"/>
    </row>
    <row r="35" spans="1:26" ht="15" customHeight="1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1" t="s">
        <v>7</v>
      </c>
      <c r="M36" s="85"/>
      <c r="N36" s="85"/>
      <c r="O36" s="85"/>
      <c r="P36" s="8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2">
        <f>P34-'03 FEB'!P33</f>
        <v>717.84500000000116</v>
      </c>
      <c r="M37" s="93"/>
      <c r="N37" s="93"/>
      <c r="O37" s="93"/>
      <c r="P37" s="94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5">
      <c r="A38" s="28"/>
      <c r="B38" s="29"/>
      <c r="C38" s="29"/>
      <c r="D38" s="29"/>
      <c r="E38" s="2"/>
      <c r="F38" s="2"/>
      <c r="G38" s="29"/>
      <c r="H38" s="29"/>
      <c r="I38" s="29"/>
      <c r="J38" s="2"/>
      <c r="K38" s="2"/>
      <c r="L38" s="95"/>
      <c r="M38" s="85"/>
      <c r="N38" s="85"/>
      <c r="O38" s="85"/>
      <c r="P38" s="8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40.5" customHeight="1" x14ac:dyDescent="0.3">
      <c r="A39" s="2"/>
      <c r="B39" s="96" t="s">
        <v>1</v>
      </c>
      <c r="C39" s="88"/>
      <c r="D39" s="88"/>
      <c r="E39" s="2"/>
      <c r="F39" s="2"/>
      <c r="G39" s="97" t="s">
        <v>49</v>
      </c>
      <c r="H39" s="88"/>
      <c r="I39" s="88"/>
      <c r="J39" s="30"/>
      <c r="K39" s="2"/>
      <c r="L39" s="31" t="s">
        <v>6</v>
      </c>
      <c r="M39" s="31" t="s">
        <v>5</v>
      </c>
      <c r="N39" s="31" t="s">
        <v>4</v>
      </c>
      <c r="O39" s="31" t="s">
        <v>3</v>
      </c>
      <c r="P39" s="31" t="s">
        <v>2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thickBot="1" x14ac:dyDescent="0.35">
      <c r="A40" s="2"/>
      <c r="B40" s="87" t="s">
        <v>0</v>
      </c>
      <c r="C40" s="88"/>
      <c r="D40" s="88"/>
      <c r="E40" s="2"/>
      <c r="F40" s="2"/>
      <c r="G40" s="87" t="s">
        <v>50</v>
      </c>
      <c r="H40" s="88"/>
      <c r="I40" s="88"/>
      <c r="J40" s="2"/>
      <c r="K40" s="2"/>
      <c r="L40" s="32">
        <f>SUM(B8:B17)+SUM(C8:C17)/24</f>
        <v>1243.375</v>
      </c>
      <c r="M40" s="33">
        <f>SUM(D8:D17)</f>
        <v>205</v>
      </c>
      <c r="N40" s="33">
        <f>SUM(E8:E17)</f>
        <v>52</v>
      </c>
      <c r="O40" s="33">
        <f>SUM(F8:F17)</f>
        <v>205</v>
      </c>
      <c r="P40" s="34">
        <f>SUM(G8:G17)+SUM(H8:H17)/24</f>
        <v>12.791666666666666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3">
    <mergeCell ref="B40:D40"/>
    <mergeCell ref="G40:I40"/>
    <mergeCell ref="J5:J6"/>
    <mergeCell ref="L5:L6"/>
    <mergeCell ref="M5:M6"/>
    <mergeCell ref="L36:P36"/>
    <mergeCell ref="L37:P37"/>
    <mergeCell ref="L38:P38"/>
    <mergeCell ref="B39:D39"/>
    <mergeCell ref="G39:I39"/>
    <mergeCell ref="N5:N6"/>
    <mergeCell ref="O5:O6"/>
    <mergeCell ref="P5:P6"/>
    <mergeCell ref="A1:J1"/>
    <mergeCell ref="B3:D3"/>
    <mergeCell ref="A5:A6"/>
    <mergeCell ref="B5:B6"/>
    <mergeCell ref="C5:C6"/>
    <mergeCell ref="D5:D6"/>
    <mergeCell ref="E5:F5"/>
    <mergeCell ref="G5:G6"/>
    <mergeCell ref="H5:H6"/>
    <mergeCell ref="I5:I6"/>
  </mergeCells>
  <pageMargins left="0.7" right="0.7" top="0.75" bottom="0.75" header="0" footer="0"/>
  <pageSetup paperSize="9" scale="86" orientation="landscape" r:id="rId1"/>
  <rowBreaks count="1" manualBreakCount="1">
    <brk id="33" max="16383" man="1"/>
  </rowBreaks>
  <colBreaks count="2" manualBreakCount="2">
    <brk id="8" max="1048575" man="1"/>
    <brk id="1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93E-91BF-4F76-A816-8C115A9C8308}">
  <dimension ref="A1:Z1001"/>
  <sheetViews>
    <sheetView zoomScaleNormal="100" workbookViewId="0">
      <selection activeCell="B22" sqref="B22:C31"/>
    </sheetView>
  </sheetViews>
  <sheetFormatPr baseColWidth="10" defaultColWidth="12.5703125" defaultRowHeight="15" customHeight="1" x14ac:dyDescent="0.25"/>
  <cols>
    <col min="1" max="1" width="42.28515625" style="3" customWidth="1"/>
    <col min="2" max="2" width="19.5703125" style="3" customWidth="1"/>
    <col min="3" max="8" width="13" style="3" customWidth="1"/>
    <col min="9" max="9" width="18.5703125" style="3" customWidth="1"/>
    <col min="10" max="10" width="34" style="3" customWidth="1"/>
    <col min="11" max="26" width="13" style="3" customWidth="1"/>
    <col min="27" max="16384" width="12.5703125" style="3"/>
  </cols>
  <sheetData>
    <row r="1" spans="1:26" ht="16.5" customHeight="1" thickBot="1" x14ac:dyDescent="0.35">
      <c r="A1" s="84" t="s">
        <v>34</v>
      </c>
      <c r="B1" s="85"/>
      <c r="C1" s="85"/>
      <c r="D1" s="85"/>
      <c r="E1" s="85"/>
      <c r="F1" s="85"/>
      <c r="G1" s="85"/>
      <c r="H1" s="85"/>
      <c r="I1" s="85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thickBot="1" x14ac:dyDescent="0.35">
      <c r="A3" s="4" t="s">
        <v>33</v>
      </c>
      <c r="B3" s="75">
        <v>46056</v>
      </c>
      <c r="C3" s="76"/>
      <c r="D3" s="77"/>
      <c r="E3" s="5"/>
      <c r="F3" s="5"/>
      <c r="G3" s="5"/>
      <c r="H3" s="2"/>
      <c r="I3" s="2"/>
      <c r="J3" s="2"/>
      <c r="K3" s="2"/>
      <c r="L3" s="6" t="s">
        <v>32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thickBot="1" x14ac:dyDescent="0.35">
      <c r="A4" s="7"/>
      <c r="B4" s="7"/>
      <c r="C4" s="7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thickBot="1" x14ac:dyDescent="0.35">
      <c r="A5" s="71" t="s">
        <v>31</v>
      </c>
      <c r="B5" s="71" t="s">
        <v>30</v>
      </c>
      <c r="C5" s="71" t="s">
        <v>29</v>
      </c>
      <c r="D5" s="71" t="s">
        <v>28</v>
      </c>
      <c r="E5" s="69" t="s">
        <v>27</v>
      </c>
      <c r="F5" s="86"/>
      <c r="G5" s="71" t="s">
        <v>26</v>
      </c>
      <c r="H5" s="71" t="s">
        <v>25</v>
      </c>
      <c r="I5" s="71" t="s">
        <v>24</v>
      </c>
      <c r="J5" s="71" t="s">
        <v>23</v>
      </c>
      <c r="K5" s="2"/>
      <c r="L5" s="89" t="s">
        <v>22</v>
      </c>
      <c r="M5" s="71" t="s">
        <v>21</v>
      </c>
      <c r="N5" s="71" t="s">
        <v>20</v>
      </c>
      <c r="O5" s="71" t="s">
        <v>19</v>
      </c>
      <c r="P5" s="71" t="s">
        <v>18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thickBot="1" x14ac:dyDescent="0.35">
      <c r="A6" s="78"/>
      <c r="B6" s="78"/>
      <c r="C6" s="78"/>
      <c r="D6" s="78"/>
      <c r="E6" s="8" t="s">
        <v>17</v>
      </c>
      <c r="F6" s="8" t="s">
        <v>16</v>
      </c>
      <c r="G6" s="78"/>
      <c r="H6" s="78"/>
      <c r="I6" s="78"/>
      <c r="J6" s="78"/>
      <c r="K6" s="2"/>
      <c r="L6" s="90"/>
      <c r="M6" s="90"/>
      <c r="N6" s="90"/>
      <c r="O6" s="90"/>
      <c r="P6" s="90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3">
      <c r="A7" s="9" t="s">
        <v>35</v>
      </c>
      <c r="B7" s="10"/>
      <c r="C7" s="10"/>
      <c r="D7" s="10"/>
      <c r="E7" s="10"/>
      <c r="F7" s="10"/>
      <c r="G7" s="10"/>
      <c r="H7" s="10"/>
      <c r="I7" s="10"/>
      <c r="J7" s="11"/>
      <c r="K7" s="2"/>
      <c r="L7" s="12"/>
      <c r="M7" s="13"/>
      <c r="N7" s="13"/>
      <c r="O7" s="13"/>
      <c r="P7" s="13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">
      <c r="A8" s="14" t="s">
        <v>11</v>
      </c>
      <c r="B8" s="10">
        <v>179</v>
      </c>
      <c r="C8" s="10">
        <v>18</v>
      </c>
      <c r="D8" s="10">
        <v>46</v>
      </c>
      <c r="E8" s="10">
        <v>7</v>
      </c>
      <c r="F8" s="10">
        <v>14</v>
      </c>
      <c r="G8" s="15"/>
      <c r="H8" s="15"/>
      <c r="I8" s="10">
        <v>1235</v>
      </c>
      <c r="J8" s="11">
        <v>46395</v>
      </c>
      <c r="K8" s="2"/>
      <c r="L8" s="16">
        <v>0</v>
      </c>
      <c r="M8" s="16">
        <f t="shared" ref="M8:M13" si="0">(B8*8.52)+(C8*0.355)</f>
        <v>1531.47</v>
      </c>
      <c r="N8" s="16">
        <f t="shared" ref="N8:N14" si="1">(G8*8.52)+(H8*0.355)</f>
        <v>0</v>
      </c>
      <c r="O8" s="16">
        <f t="shared" ref="O8:O14" si="2">(D8*60)+(E8*20)+(F8*20)+L8</f>
        <v>3180</v>
      </c>
      <c r="P8" s="17">
        <f>M8+N8+O8</f>
        <v>4711.47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14" t="s">
        <v>12</v>
      </c>
      <c r="B9" s="10">
        <v>584</v>
      </c>
      <c r="C9" s="10">
        <v>18</v>
      </c>
      <c r="D9" s="10">
        <v>58</v>
      </c>
      <c r="E9" s="10">
        <v>3</v>
      </c>
      <c r="F9" s="10">
        <v>77</v>
      </c>
      <c r="G9" s="15"/>
      <c r="H9" s="15"/>
      <c r="I9" s="10">
        <v>1230</v>
      </c>
      <c r="J9" s="11">
        <v>46402</v>
      </c>
      <c r="K9" s="2"/>
      <c r="L9" s="16">
        <v>0</v>
      </c>
      <c r="M9" s="16">
        <f t="shared" si="0"/>
        <v>4982.07</v>
      </c>
      <c r="N9" s="16">
        <f t="shared" si="1"/>
        <v>0</v>
      </c>
      <c r="O9" s="16">
        <f t="shared" si="2"/>
        <v>5080</v>
      </c>
      <c r="P9" s="17">
        <f t="shared" ref="P9:P13" si="3">M9+N9+O9</f>
        <v>10062.07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">
      <c r="A10" s="14" t="s">
        <v>13</v>
      </c>
      <c r="B10" s="10">
        <v>129</v>
      </c>
      <c r="C10" s="10">
        <v>4</v>
      </c>
      <c r="D10" s="10">
        <v>25</v>
      </c>
      <c r="E10" s="10">
        <v>0</v>
      </c>
      <c r="F10" s="10">
        <v>39</v>
      </c>
      <c r="G10" s="15"/>
      <c r="H10" s="15"/>
      <c r="I10" s="10">
        <v>1231</v>
      </c>
      <c r="J10" s="11">
        <v>46396</v>
      </c>
      <c r="K10" s="2"/>
      <c r="L10" s="16">
        <v>0</v>
      </c>
      <c r="M10" s="16">
        <f t="shared" si="0"/>
        <v>1100.5</v>
      </c>
      <c r="N10" s="16">
        <f t="shared" si="1"/>
        <v>0</v>
      </c>
      <c r="O10" s="16">
        <f t="shared" si="2"/>
        <v>2280</v>
      </c>
      <c r="P10" s="17">
        <f t="shared" si="3"/>
        <v>3380.5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">
      <c r="A11" s="14" t="s">
        <v>15</v>
      </c>
      <c r="B11" s="10">
        <v>298</v>
      </c>
      <c r="C11" s="10">
        <v>8</v>
      </c>
      <c r="D11" s="10">
        <v>36</v>
      </c>
      <c r="E11" s="10">
        <v>8</v>
      </c>
      <c r="F11" s="10">
        <v>58</v>
      </c>
      <c r="G11" s="15"/>
      <c r="H11" s="15"/>
      <c r="I11" s="10">
        <v>1229</v>
      </c>
      <c r="J11" s="11">
        <v>46395</v>
      </c>
      <c r="K11" s="2"/>
      <c r="L11" s="16">
        <v>0</v>
      </c>
      <c r="M11" s="16">
        <f t="shared" si="0"/>
        <v>2541.8000000000002</v>
      </c>
      <c r="N11" s="16">
        <f t="shared" si="1"/>
        <v>0</v>
      </c>
      <c r="O11" s="16">
        <f t="shared" si="2"/>
        <v>3480</v>
      </c>
      <c r="P11" s="17">
        <f t="shared" si="3"/>
        <v>6021.8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4" t="s">
        <v>14</v>
      </c>
      <c r="B12" s="10">
        <v>99</v>
      </c>
      <c r="C12" s="10">
        <v>0</v>
      </c>
      <c r="D12" s="10">
        <v>10</v>
      </c>
      <c r="E12" s="10">
        <v>4</v>
      </c>
      <c r="F12" s="10">
        <v>13</v>
      </c>
      <c r="G12" s="15"/>
      <c r="H12" s="15"/>
      <c r="I12" s="10">
        <v>1236</v>
      </c>
      <c r="J12" s="11">
        <v>46403</v>
      </c>
      <c r="K12" s="2"/>
      <c r="L12" s="16">
        <v>0</v>
      </c>
      <c r="M12" s="16">
        <f t="shared" si="0"/>
        <v>843.4799999999999</v>
      </c>
      <c r="N12" s="16">
        <f t="shared" si="1"/>
        <v>0</v>
      </c>
      <c r="O12" s="16">
        <f t="shared" si="2"/>
        <v>940</v>
      </c>
      <c r="P12" s="17">
        <f t="shared" si="3"/>
        <v>1783.48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">
      <c r="A13" s="14" t="s">
        <v>10</v>
      </c>
      <c r="B13" s="10">
        <v>63</v>
      </c>
      <c r="C13" s="10">
        <v>22</v>
      </c>
      <c r="D13" s="10">
        <v>0</v>
      </c>
      <c r="E13" s="10">
        <v>3</v>
      </c>
      <c r="F13" s="10">
        <v>7</v>
      </c>
      <c r="G13" s="15"/>
      <c r="H13" s="15"/>
      <c r="I13" s="10">
        <v>1235</v>
      </c>
      <c r="J13" s="11">
        <v>46395</v>
      </c>
      <c r="K13" s="2"/>
      <c r="L13" s="16">
        <v>0</v>
      </c>
      <c r="M13" s="16">
        <f t="shared" si="0"/>
        <v>544.56999999999994</v>
      </c>
      <c r="N13" s="16">
        <f t="shared" si="1"/>
        <v>0</v>
      </c>
      <c r="O13" s="16">
        <f t="shared" si="2"/>
        <v>200</v>
      </c>
      <c r="P13" s="17">
        <f t="shared" si="3"/>
        <v>744.56999999999994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3">
      <c r="A14" s="14" t="s">
        <v>36</v>
      </c>
      <c r="B14" s="18">
        <v>0</v>
      </c>
      <c r="C14" s="19"/>
      <c r="D14" s="19"/>
      <c r="E14" s="19"/>
      <c r="F14" s="19"/>
      <c r="G14" s="19"/>
      <c r="H14" s="19"/>
      <c r="I14" s="18"/>
      <c r="J14" s="20"/>
      <c r="K14" s="2"/>
      <c r="L14" s="16">
        <v>0</v>
      </c>
      <c r="M14" s="16">
        <f>(B14*4.27)+(C14*0.355)</f>
        <v>0</v>
      </c>
      <c r="N14" s="16">
        <f t="shared" si="1"/>
        <v>0</v>
      </c>
      <c r="O14" s="16">
        <f t="shared" si="2"/>
        <v>0</v>
      </c>
      <c r="P14" s="17">
        <f>M14+N14+O14</f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14"/>
      <c r="B15" s="10"/>
      <c r="C15" s="10"/>
      <c r="D15" s="10"/>
      <c r="E15" s="10"/>
      <c r="F15" s="10"/>
      <c r="G15" s="18"/>
      <c r="H15" s="18"/>
      <c r="I15" s="10"/>
      <c r="J15" s="11"/>
      <c r="K15" s="2"/>
      <c r="L15" s="16"/>
      <c r="M15" s="16"/>
      <c r="N15" s="16"/>
      <c r="O15" s="16"/>
      <c r="P15" s="1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3">
      <c r="A16" s="21" t="s">
        <v>37</v>
      </c>
      <c r="B16" s="10"/>
      <c r="C16" s="10"/>
      <c r="D16" s="10"/>
      <c r="E16" s="10"/>
      <c r="F16" s="10"/>
      <c r="G16" s="10"/>
      <c r="H16" s="10"/>
      <c r="I16" s="10"/>
      <c r="J16" s="11"/>
      <c r="K16" s="2"/>
      <c r="L16" s="16"/>
      <c r="M16" s="16"/>
      <c r="N16" s="16"/>
      <c r="O16" s="16"/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">
      <c r="A17" s="14" t="s">
        <v>38</v>
      </c>
      <c r="B17" s="36"/>
      <c r="C17" s="36"/>
      <c r="D17" s="15"/>
      <c r="E17" s="15"/>
      <c r="F17" s="15"/>
      <c r="G17" s="22">
        <v>12</v>
      </c>
      <c r="H17" s="23">
        <v>19</v>
      </c>
      <c r="I17" s="10">
        <v>1191</v>
      </c>
      <c r="J17" s="11">
        <v>46247</v>
      </c>
      <c r="K17" s="2"/>
      <c r="L17" s="16">
        <v>0</v>
      </c>
      <c r="M17" s="16">
        <f t="shared" ref="M17:M19" si="4">(B17*8.52)+(C17*0.355)</f>
        <v>0</v>
      </c>
      <c r="N17" s="16">
        <f t="shared" ref="N17:N19" si="5">(G17*8.52)+(H17*0.355)</f>
        <v>108.985</v>
      </c>
      <c r="O17" s="16">
        <f t="shared" ref="O17:O19" si="6">(D17*60)+(E17*20)+(F17*20)+L17</f>
        <v>0</v>
      </c>
      <c r="P17" s="17">
        <f t="shared" ref="P17:P19" si="7">M17+N17+O17</f>
        <v>108.985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">
      <c r="A18" s="14" t="s">
        <v>53</v>
      </c>
      <c r="B18" s="36"/>
      <c r="C18" s="36"/>
      <c r="D18" s="24">
        <v>20</v>
      </c>
      <c r="E18" s="24">
        <v>12</v>
      </c>
      <c r="F18" s="24">
        <v>51</v>
      </c>
      <c r="G18" s="15"/>
      <c r="H18" s="15"/>
      <c r="I18" s="35">
        <v>1242</v>
      </c>
      <c r="J18" s="11">
        <v>46421</v>
      </c>
      <c r="K18" s="2"/>
      <c r="L18" s="16">
        <v>1</v>
      </c>
      <c r="M18" s="16">
        <f t="shared" si="4"/>
        <v>0</v>
      </c>
      <c r="N18" s="16">
        <f t="shared" si="5"/>
        <v>0</v>
      </c>
      <c r="O18" s="16">
        <f t="shared" si="6"/>
        <v>2461</v>
      </c>
      <c r="P18" s="17">
        <f t="shared" si="7"/>
        <v>2461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">
      <c r="A19" s="14" t="s">
        <v>51</v>
      </c>
      <c r="B19" s="36"/>
      <c r="C19" s="36"/>
      <c r="D19" s="24">
        <v>2</v>
      </c>
      <c r="E19" s="24">
        <v>1</v>
      </c>
      <c r="F19" s="24">
        <v>7</v>
      </c>
      <c r="G19" s="15"/>
      <c r="H19" s="15"/>
      <c r="I19" s="35">
        <v>1238</v>
      </c>
      <c r="J19" s="11">
        <v>46397</v>
      </c>
      <c r="K19" s="2"/>
      <c r="L19" s="16">
        <v>2</v>
      </c>
      <c r="M19" s="16">
        <f t="shared" si="4"/>
        <v>0</v>
      </c>
      <c r="N19" s="16">
        <f t="shared" si="5"/>
        <v>0</v>
      </c>
      <c r="O19" s="16">
        <f t="shared" si="6"/>
        <v>282</v>
      </c>
      <c r="P19" s="17">
        <f t="shared" si="7"/>
        <v>282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3">
      <c r="A20" s="14"/>
      <c r="B20" s="10"/>
      <c r="C20" s="10"/>
      <c r="D20" s="10"/>
      <c r="E20" s="10"/>
      <c r="F20" s="10"/>
      <c r="G20" s="18"/>
      <c r="H20" s="18"/>
      <c r="I20" s="10"/>
      <c r="J20" s="11"/>
      <c r="K20" s="2"/>
      <c r="L20" s="16"/>
      <c r="M20" s="16"/>
      <c r="N20" s="16"/>
      <c r="O20" s="16"/>
      <c r="P20" s="1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3">
      <c r="A21" s="21" t="s">
        <v>39</v>
      </c>
      <c r="B21" s="18"/>
      <c r="C21" s="18"/>
      <c r="D21" s="18"/>
      <c r="E21" s="18"/>
      <c r="F21" s="18"/>
      <c r="G21" s="18"/>
      <c r="H21" s="18"/>
      <c r="I21" s="18"/>
      <c r="J21" s="20"/>
      <c r="K21" s="2"/>
      <c r="L21" s="16"/>
      <c r="M21" s="16"/>
      <c r="N21" s="16"/>
      <c r="O21" s="16"/>
      <c r="P21" s="1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">
      <c r="A22" s="14" t="s">
        <v>9</v>
      </c>
      <c r="B22" s="10">
        <v>26</v>
      </c>
      <c r="C22" s="24">
        <v>3</v>
      </c>
      <c r="D22" s="15"/>
      <c r="E22" s="15"/>
      <c r="F22" s="15"/>
      <c r="G22" s="15"/>
      <c r="H22" s="15"/>
      <c r="I22" s="10">
        <v>1115</v>
      </c>
      <c r="J22" s="11">
        <v>46066</v>
      </c>
      <c r="K22" s="2"/>
      <c r="L22" s="16">
        <v>0</v>
      </c>
      <c r="M22" s="16">
        <f t="shared" ref="M22:M32" si="8">(B22*8.52)+(C22*0.355)</f>
        <v>222.58499999999998</v>
      </c>
      <c r="N22" s="16">
        <f t="shared" ref="N22:N32" si="9">(G22*8.52)+(H22*0.355)</f>
        <v>0</v>
      </c>
      <c r="O22" s="16">
        <f t="shared" ref="O22:O32" si="10">(D22*60)+(E22*20)+(F22*20)+L22</f>
        <v>0</v>
      </c>
      <c r="P22" s="17">
        <f t="shared" ref="P22:P32" si="11">M22+N22+O22</f>
        <v>222.58499999999998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3">
      <c r="A23" s="14" t="s">
        <v>8</v>
      </c>
      <c r="B23" s="10">
        <v>21</v>
      </c>
      <c r="C23" s="15"/>
      <c r="D23" s="15"/>
      <c r="E23" s="15"/>
      <c r="F23" s="15"/>
      <c r="G23" s="15"/>
      <c r="H23" s="15"/>
      <c r="I23" s="10">
        <v>1104</v>
      </c>
      <c r="J23" s="11">
        <v>45938</v>
      </c>
      <c r="K23" s="2"/>
      <c r="L23" s="16">
        <v>0</v>
      </c>
      <c r="M23" s="16">
        <f t="shared" si="8"/>
        <v>178.92</v>
      </c>
      <c r="N23" s="16">
        <f t="shared" si="9"/>
        <v>0</v>
      </c>
      <c r="O23" s="16">
        <f t="shared" si="10"/>
        <v>0</v>
      </c>
      <c r="P23" s="17">
        <f t="shared" si="11"/>
        <v>178.92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3">
      <c r="A24" s="14" t="s">
        <v>40</v>
      </c>
      <c r="B24" s="10">
        <v>41</v>
      </c>
      <c r="C24" s="18">
        <v>11</v>
      </c>
      <c r="D24" s="15"/>
      <c r="E24" s="15"/>
      <c r="F24" s="15"/>
      <c r="G24" s="15"/>
      <c r="H24" s="15"/>
      <c r="I24" s="10">
        <v>1144</v>
      </c>
      <c r="J24" s="11">
        <v>46114</v>
      </c>
      <c r="K24" s="2"/>
      <c r="L24" s="16">
        <v>0</v>
      </c>
      <c r="M24" s="16">
        <f t="shared" si="8"/>
        <v>353.22499999999997</v>
      </c>
      <c r="N24" s="16">
        <f t="shared" si="9"/>
        <v>0</v>
      </c>
      <c r="O24" s="16">
        <f t="shared" si="10"/>
        <v>0</v>
      </c>
      <c r="P24" s="17">
        <f t="shared" si="11"/>
        <v>353.22499999999997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">
      <c r="A25" s="14" t="s">
        <v>41</v>
      </c>
      <c r="B25" s="10">
        <v>14</v>
      </c>
      <c r="C25" s="18">
        <v>22</v>
      </c>
      <c r="D25" s="15"/>
      <c r="E25" s="15"/>
      <c r="F25" s="15"/>
      <c r="G25" s="15"/>
      <c r="H25" s="15"/>
      <c r="I25" s="10">
        <v>1168</v>
      </c>
      <c r="J25" s="11">
        <v>46118</v>
      </c>
      <c r="K25" s="2"/>
      <c r="L25" s="16">
        <v>0</v>
      </c>
      <c r="M25" s="16">
        <f t="shared" si="8"/>
        <v>127.09</v>
      </c>
      <c r="N25" s="16">
        <f t="shared" si="9"/>
        <v>0</v>
      </c>
      <c r="O25" s="16">
        <f t="shared" si="10"/>
        <v>0</v>
      </c>
      <c r="P25" s="17">
        <f t="shared" si="11"/>
        <v>127.09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14" t="s">
        <v>42</v>
      </c>
      <c r="B26" s="10">
        <v>0</v>
      </c>
      <c r="C26" s="15"/>
      <c r="D26" s="15"/>
      <c r="E26" s="15"/>
      <c r="F26" s="15"/>
      <c r="G26" s="15"/>
      <c r="H26" s="15"/>
      <c r="I26" s="10">
        <v>1180</v>
      </c>
      <c r="J26" s="11">
        <v>46156</v>
      </c>
      <c r="K26" s="2"/>
      <c r="L26" s="16">
        <v>0</v>
      </c>
      <c r="M26" s="16">
        <f t="shared" si="8"/>
        <v>0</v>
      </c>
      <c r="N26" s="16">
        <f t="shared" si="9"/>
        <v>0</v>
      </c>
      <c r="O26" s="16">
        <f t="shared" si="10"/>
        <v>0</v>
      </c>
      <c r="P26" s="17">
        <f t="shared" si="11"/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3">
      <c r="A27" s="14" t="s">
        <v>43</v>
      </c>
      <c r="B27" s="10">
        <v>6</v>
      </c>
      <c r="C27" s="15"/>
      <c r="D27" s="15"/>
      <c r="E27" s="15"/>
      <c r="F27" s="15"/>
      <c r="G27" s="15"/>
      <c r="H27" s="15"/>
      <c r="I27" s="10">
        <v>1152</v>
      </c>
      <c r="J27" s="11">
        <v>46135</v>
      </c>
      <c r="K27" s="2"/>
      <c r="L27" s="16"/>
      <c r="M27" s="16">
        <f t="shared" si="8"/>
        <v>51.12</v>
      </c>
      <c r="N27" s="16">
        <f t="shared" si="9"/>
        <v>0</v>
      </c>
      <c r="O27" s="16">
        <f t="shared" si="10"/>
        <v>0</v>
      </c>
      <c r="P27" s="17">
        <f t="shared" si="11"/>
        <v>51.12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3">
      <c r="A28" s="14" t="s">
        <v>44</v>
      </c>
      <c r="B28" s="10">
        <v>0</v>
      </c>
      <c r="C28" s="15"/>
      <c r="D28" s="15"/>
      <c r="E28" s="15"/>
      <c r="F28" s="15"/>
      <c r="G28" s="15"/>
      <c r="H28" s="15"/>
      <c r="I28" s="10">
        <v>1144</v>
      </c>
      <c r="J28" s="11">
        <v>46088</v>
      </c>
      <c r="K28" s="2"/>
      <c r="L28" s="16">
        <v>0</v>
      </c>
      <c r="M28" s="16">
        <f t="shared" si="8"/>
        <v>0</v>
      </c>
      <c r="N28" s="16">
        <f t="shared" si="9"/>
        <v>0</v>
      </c>
      <c r="O28" s="16">
        <f t="shared" si="10"/>
        <v>0</v>
      </c>
      <c r="P28" s="17">
        <f t="shared" si="11"/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3">
      <c r="A29" s="14" t="s">
        <v>45</v>
      </c>
      <c r="B29" s="10">
        <v>14</v>
      </c>
      <c r="C29" s="15"/>
      <c r="D29" s="15"/>
      <c r="E29" s="15"/>
      <c r="F29" s="15"/>
      <c r="G29" s="15"/>
      <c r="H29" s="15"/>
      <c r="I29" s="10">
        <v>1150</v>
      </c>
      <c r="J29" s="11">
        <v>46129</v>
      </c>
      <c r="K29" s="2"/>
      <c r="L29" s="16">
        <v>0</v>
      </c>
      <c r="M29" s="16">
        <f t="shared" si="8"/>
        <v>119.28</v>
      </c>
      <c r="N29" s="16">
        <f t="shared" si="9"/>
        <v>0</v>
      </c>
      <c r="O29" s="16">
        <f t="shared" si="10"/>
        <v>0</v>
      </c>
      <c r="P29" s="17">
        <f t="shared" si="11"/>
        <v>119.28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3">
      <c r="A30" s="14" t="s">
        <v>52</v>
      </c>
      <c r="B30" s="10">
        <v>82</v>
      </c>
      <c r="C30" s="15"/>
      <c r="D30" s="15"/>
      <c r="E30" s="15"/>
      <c r="F30" s="15"/>
      <c r="G30" s="15"/>
      <c r="H30" s="15"/>
      <c r="I30" s="10">
        <v>1230</v>
      </c>
      <c r="J30" s="11">
        <v>46402</v>
      </c>
      <c r="K30" s="2"/>
      <c r="L30" s="16"/>
      <c r="M30" s="16">
        <f t="shared" si="8"/>
        <v>698.64</v>
      </c>
      <c r="N30" s="16"/>
      <c r="O30" s="16"/>
      <c r="P30" s="1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3">
      <c r="A31" s="14" t="s">
        <v>46</v>
      </c>
      <c r="B31" s="10">
        <v>61</v>
      </c>
      <c r="C31" s="15"/>
      <c r="D31" s="15"/>
      <c r="E31" s="15"/>
      <c r="F31" s="15"/>
      <c r="G31" s="15"/>
      <c r="H31" s="15"/>
      <c r="I31" s="10">
        <v>1222</v>
      </c>
      <c r="J31" s="11">
        <v>46354</v>
      </c>
      <c r="K31" s="2"/>
      <c r="L31" s="16">
        <v>0</v>
      </c>
      <c r="M31" s="16">
        <f t="shared" si="8"/>
        <v>519.72</v>
      </c>
      <c r="N31" s="16">
        <f t="shared" si="9"/>
        <v>0</v>
      </c>
      <c r="O31" s="16">
        <f t="shared" si="10"/>
        <v>0</v>
      </c>
      <c r="P31" s="17">
        <f t="shared" si="11"/>
        <v>519.72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">
      <c r="A32" s="14" t="s">
        <v>47</v>
      </c>
      <c r="B32" s="15"/>
      <c r="C32" s="15"/>
      <c r="D32" s="15"/>
      <c r="E32" s="15"/>
      <c r="F32" s="15"/>
      <c r="G32" s="10">
        <v>58</v>
      </c>
      <c r="H32" s="10">
        <v>4</v>
      </c>
      <c r="I32" s="10" t="s">
        <v>48</v>
      </c>
      <c r="J32" s="11">
        <v>46268</v>
      </c>
      <c r="K32" s="2"/>
      <c r="L32" s="16"/>
      <c r="M32" s="16">
        <f t="shared" si="8"/>
        <v>0</v>
      </c>
      <c r="N32" s="16">
        <f t="shared" si="9"/>
        <v>495.58</v>
      </c>
      <c r="O32" s="16">
        <f t="shared" si="10"/>
        <v>0</v>
      </c>
      <c r="P32" s="25">
        <f t="shared" si="11"/>
        <v>495.58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">
      <c r="A33" s="7"/>
      <c r="B33" s="5"/>
      <c r="C33" s="5"/>
      <c r="D33" s="5"/>
      <c r="E33" s="5"/>
      <c r="F33" s="5"/>
      <c r="G33" s="5"/>
      <c r="H33" s="5"/>
      <c r="I33" s="5"/>
      <c r="J33" s="26"/>
      <c r="K33" s="2"/>
      <c r="L33" s="27">
        <f>SUM(L8:L17)</f>
        <v>0</v>
      </c>
      <c r="M33" s="27">
        <f>SUM(M8:M17)</f>
        <v>11543.89</v>
      </c>
      <c r="N33" s="27">
        <f>SUM(N8:N17)</f>
        <v>108.985</v>
      </c>
      <c r="O33" s="27">
        <f>SUM(O8:O17)</f>
        <v>15160</v>
      </c>
      <c r="P33" s="27">
        <f>SUM(P8:P32)</f>
        <v>31623.394999999997</v>
      </c>
      <c r="Q33" s="1"/>
      <c r="R33" s="28"/>
      <c r="S33" s="2"/>
      <c r="T33" s="2"/>
      <c r="U33" s="2"/>
      <c r="V33" s="2"/>
      <c r="W33" s="2"/>
      <c r="X33" s="2"/>
      <c r="Y33" s="2"/>
      <c r="Z33" s="2"/>
    </row>
    <row r="34" spans="1:26" ht="15" customHeight="1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1" t="s">
        <v>7</v>
      </c>
      <c r="M35" s="85"/>
      <c r="N35" s="85"/>
      <c r="O35" s="85"/>
      <c r="P35" s="8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2" t="e">
        <f>P33-#REF!</f>
        <v>#REF!</v>
      </c>
      <c r="M36" s="93"/>
      <c r="N36" s="93"/>
      <c r="O36" s="93"/>
      <c r="P36" s="94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5">
      <c r="A37" s="28"/>
      <c r="B37" s="29"/>
      <c r="C37" s="29"/>
      <c r="D37" s="29"/>
      <c r="E37" s="2"/>
      <c r="F37" s="2"/>
      <c r="G37" s="29"/>
      <c r="H37" s="29"/>
      <c r="I37" s="29"/>
      <c r="J37" s="2"/>
      <c r="K37" s="2"/>
      <c r="L37" s="95"/>
      <c r="M37" s="85"/>
      <c r="N37" s="85"/>
      <c r="O37" s="85"/>
      <c r="P37" s="8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40.5" customHeight="1" x14ac:dyDescent="0.3">
      <c r="A38" s="2"/>
      <c r="B38" s="96" t="s">
        <v>1</v>
      </c>
      <c r="C38" s="88"/>
      <c r="D38" s="88"/>
      <c r="E38" s="2"/>
      <c r="F38" s="2"/>
      <c r="G38" s="97" t="s">
        <v>49</v>
      </c>
      <c r="H38" s="88"/>
      <c r="I38" s="88"/>
      <c r="J38" s="30"/>
      <c r="K38" s="2"/>
      <c r="L38" s="31" t="s">
        <v>6</v>
      </c>
      <c r="M38" s="31" t="s">
        <v>5</v>
      </c>
      <c r="N38" s="31" t="s">
        <v>4</v>
      </c>
      <c r="O38" s="31" t="s">
        <v>3</v>
      </c>
      <c r="P38" s="31" t="s">
        <v>2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5">
      <c r="A39" s="2"/>
      <c r="B39" s="87" t="s">
        <v>0</v>
      </c>
      <c r="C39" s="88"/>
      <c r="D39" s="88"/>
      <c r="E39" s="2"/>
      <c r="F39" s="2"/>
      <c r="G39" s="87" t="s">
        <v>50</v>
      </c>
      <c r="H39" s="88"/>
      <c r="I39" s="88"/>
      <c r="J39" s="2"/>
      <c r="K39" s="2"/>
      <c r="L39" s="32">
        <f>SUM(B8:B17)+SUM(C8:C17)/24</f>
        <v>1354.9166666666667</v>
      </c>
      <c r="M39" s="33">
        <f>SUM(D8:D17)</f>
        <v>175</v>
      </c>
      <c r="N39" s="33">
        <f>SUM(E8:E17)</f>
        <v>25</v>
      </c>
      <c r="O39" s="33">
        <f>SUM(F8:F17)</f>
        <v>208</v>
      </c>
      <c r="P39" s="34">
        <f>SUM(G8:G17)+SUM(H8:H17)/24</f>
        <v>12.791666666666666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3">
    <mergeCell ref="B39:D39"/>
    <mergeCell ref="G39:I39"/>
    <mergeCell ref="J5:J6"/>
    <mergeCell ref="L5:L6"/>
    <mergeCell ref="M5:M6"/>
    <mergeCell ref="L35:P35"/>
    <mergeCell ref="L36:P36"/>
    <mergeCell ref="L37:P37"/>
    <mergeCell ref="B38:D38"/>
    <mergeCell ref="G38:I38"/>
    <mergeCell ref="N5:N6"/>
    <mergeCell ref="O5:O6"/>
    <mergeCell ref="P5:P6"/>
    <mergeCell ref="A1:J1"/>
    <mergeCell ref="B3:D3"/>
    <mergeCell ref="A5:A6"/>
    <mergeCell ref="B5:B6"/>
    <mergeCell ref="C5:C6"/>
    <mergeCell ref="D5:D6"/>
    <mergeCell ref="E5:F5"/>
    <mergeCell ref="G5:G6"/>
    <mergeCell ref="H5:H6"/>
    <mergeCell ref="I5:I6"/>
  </mergeCells>
  <pageMargins left="0.7" right="0.7" top="0.75" bottom="0.75" header="0" footer="0"/>
  <pageSetup paperSize="9" scale="86" orientation="landscape" r:id="rId1"/>
  <rowBreaks count="1" manualBreakCount="1">
    <brk id="32" max="16383" man="1"/>
  </rowBreaks>
  <colBreaks count="2" manualBreakCount="2">
    <brk id="8" max="1048575" man="1"/>
    <brk id="1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02 MAR</vt:lpstr>
      <vt:lpstr>23 FEB</vt:lpstr>
      <vt:lpstr>19 FEB</vt:lpstr>
      <vt:lpstr>09 FEB</vt:lpstr>
      <vt:lpstr>03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zamora guzman</dc:creator>
  <cp:lastModifiedBy>Alan Cordova v</cp:lastModifiedBy>
  <cp:lastPrinted>2025-01-13T16:58:24Z</cp:lastPrinted>
  <dcterms:created xsi:type="dcterms:W3CDTF">2024-01-12T23:46:02Z</dcterms:created>
  <dcterms:modified xsi:type="dcterms:W3CDTF">2026-06-02T05:47:31Z</dcterms:modified>
</cp:coreProperties>
</file>